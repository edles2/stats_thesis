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egaillard/Downloads/Thèse/"/>
    </mc:Choice>
  </mc:AlternateContent>
  <xr:revisionPtr revIDLastSave="0" documentId="8_{8D6867AD-3E33-A849-9EC1-6D198795FA01}" xr6:coauthVersionLast="36" xr6:coauthVersionMax="36" xr10:uidLastSave="{00000000-0000-0000-0000-000000000000}"/>
  <bookViews>
    <workbookView xWindow="1020" yWindow="500" windowWidth="12620" windowHeight="15700" xr2:uid="{5DAA9202-71AC-4449-AA3D-A2E8832F285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70" i="1" l="1"/>
  <c r="BB71" i="1"/>
  <c r="BB74" i="1"/>
  <c r="BB77" i="1"/>
  <c r="BB78" i="1"/>
  <c r="BA70" i="1"/>
  <c r="BA71" i="1"/>
  <c r="BA74" i="1"/>
  <c r="BA77" i="1"/>
  <c r="BA78" i="1"/>
  <c r="AV62" i="1"/>
  <c r="AV63" i="1"/>
  <c r="AV64" i="1"/>
  <c r="AV66" i="1"/>
  <c r="AV67" i="1"/>
  <c r="AV68" i="1"/>
  <c r="AV69" i="1"/>
  <c r="AV72" i="1"/>
  <c r="AV73" i="1"/>
  <c r="AV74" i="1"/>
  <c r="AV76" i="1"/>
  <c r="AV77" i="1"/>
  <c r="AV79" i="1"/>
  <c r="AV80" i="1"/>
  <c r="AU66" i="1"/>
  <c r="AU67" i="1"/>
  <c r="AU68" i="1"/>
  <c r="AU69" i="1"/>
  <c r="AU72" i="1"/>
  <c r="AU73" i="1"/>
  <c r="AU74" i="1"/>
  <c r="AU76" i="1"/>
  <c r="AU77" i="1"/>
  <c r="AU79" i="1"/>
  <c r="AU80" i="1"/>
  <c r="AP66" i="1"/>
  <c r="AP67" i="1"/>
  <c r="AP68" i="1"/>
  <c r="AP69" i="1"/>
  <c r="AP71" i="1"/>
  <c r="AP72" i="1"/>
  <c r="AP73" i="1"/>
  <c r="AP74" i="1"/>
  <c r="AP77" i="1"/>
  <c r="AP79" i="1"/>
  <c r="AP80" i="1"/>
  <c r="AP81" i="1"/>
  <c r="AO66" i="1"/>
  <c r="AO67" i="1"/>
  <c r="AO68" i="1"/>
  <c r="AO69" i="1"/>
  <c r="AO71" i="1"/>
  <c r="AO72" i="1"/>
  <c r="AO73" i="1"/>
  <c r="AO74" i="1"/>
  <c r="AO77" i="1"/>
  <c r="AO79" i="1"/>
  <c r="AO80" i="1"/>
  <c r="AO81" i="1"/>
  <c r="AJ66" i="1"/>
  <c r="AJ67" i="1"/>
  <c r="AJ68" i="1"/>
  <c r="AJ69" i="1"/>
  <c r="AJ70" i="1"/>
  <c r="AJ71" i="1"/>
  <c r="AJ72" i="1"/>
  <c r="AJ74" i="1"/>
  <c r="AJ75" i="1"/>
  <c r="AJ76" i="1"/>
  <c r="AJ77" i="1"/>
  <c r="AJ78" i="1"/>
  <c r="AJ79" i="1"/>
  <c r="AJ80" i="1"/>
  <c r="AJ81" i="1"/>
  <c r="AI66" i="1"/>
  <c r="AI67" i="1"/>
  <c r="AI68" i="1"/>
  <c r="AI69" i="1"/>
  <c r="AI70" i="1"/>
  <c r="AI71" i="1"/>
  <c r="AI72" i="1"/>
  <c r="AI74" i="1"/>
  <c r="AI75" i="1"/>
  <c r="AI76" i="1"/>
  <c r="AI77" i="1"/>
  <c r="AI78" i="1"/>
  <c r="AI79" i="1"/>
  <c r="AI80" i="1"/>
  <c r="AI81" i="1"/>
  <c r="AD66" i="1"/>
  <c r="AD67" i="1"/>
  <c r="AD68" i="1"/>
  <c r="AD69" i="1"/>
  <c r="AD70" i="1"/>
  <c r="AD71" i="1"/>
  <c r="AD73" i="1"/>
  <c r="AD74" i="1"/>
  <c r="AD75" i="1"/>
  <c r="AD76" i="1"/>
  <c r="AD77" i="1"/>
  <c r="AD78" i="1"/>
  <c r="AD79" i="1"/>
  <c r="AD80" i="1"/>
  <c r="AD81" i="1"/>
  <c r="AC66" i="1"/>
  <c r="AC67" i="1"/>
  <c r="AC68" i="1"/>
  <c r="AC69" i="1"/>
  <c r="AC70" i="1"/>
  <c r="AC71" i="1"/>
  <c r="AC73" i="1"/>
  <c r="AC74" i="1"/>
  <c r="AC75" i="1"/>
  <c r="AC76" i="1"/>
  <c r="AC77" i="1"/>
  <c r="AC78" i="1"/>
  <c r="AC79" i="1"/>
  <c r="AC80" i="1"/>
  <c r="AC81" i="1"/>
  <c r="X66" i="1"/>
  <c r="X67" i="1"/>
  <c r="X68" i="1"/>
  <c r="X69" i="1"/>
  <c r="X70" i="1"/>
  <c r="X71" i="1"/>
  <c r="X73" i="1"/>
  <c r="X74" i="1"/>
  <c r="X75" i="1"/>
  <c r="X76" i="1"/>
  <c r="X77" i="1"/>
  <c r="X78" i="1"/>
  <c r="X79" i="1"/>
  <c r="X80" i="1"/>
  <c r="X81" i="1"/>
  <c r="W66" i="1"/>
  <c r="W67" i="1"/>
  <c r="W68" i="1"/>
  <c r="W69" i="1"/>
  <c r="W70" i="1"/>
  <c r="W71" i="1"/>
  <c r="W73" i="1"/>
  <c r="W74" i="1"/>
  <c r="W75" i="1"/>
  <c r="W76" i="1"/>
  <c r="W77" i="1"/>
  <c r="W78" i="1"/>
  <c r="W79" i="1"/>
  <c r="W80" i="1"/>
  <c r="W81" i="1"/>
  <c r="R66" i="1"/>
  <c r="R67" i="1"/>
  <c r="R68" i="1"/>
  <c r="R69" i="1"/>
  <c r="R70" i="1"/>
  <c r="R71" i="1"/>
  <c r="R73" i="1"/>
  <c r="R74" i="1"/>
  <c r="R75" i="1"/>
  <c r="R76" i="1"/>
  <c r="R77" i="1"/>
  <c r="R78" i="1"/>
  <c r="R79" i="1"/>
  <c r="R80" i="1"/>
  <c r="R81" i="1"/>
  <c r="Q66" i="1"/>
  <c r="Q67" i="1"/>
  <c r="Q68" i="1"/>
  <c r="Q69" i="1"/>
  <c r="Q70" i="1"/>
  <c r="Q71" i="1"/>
  <c r="Q73" i="1"/>
  <c r="Q74" i="1"/>
  <c r="Q75" i="1"/>
  <c r="Q76" i="1"/>
  <c r="Q77" i="1"/>
  <c r="Q78" i="1"/>
  <c r="Q79" i="1"/>
  <c r="Q80" i="1"/>
  <c r="Q81" i="1"/>
  <c r="K73" i="1"/>
  <c r="K67" i="1"/>
  <c r="K68" i="1"/>
  <c r="K69" i="1"/>
  <c r="K70" i="1"/>
  <c r="K71" i="1"/>
  <c r="K74" i="1"/>
  <c r="K75" i="1"/>
  <c r="K76" i="1"/>
  <c r="K77" i="1"/>
  <c r="K78" i="1"/>
  <c r="K79" i="1"/>
  <c r="K80" i="1"/>
  <c r="K81" i="1"/>
  <c r="K66" i="1"/>
  <c r="J67" i="1"/>
  <c r="J68" i="1"/>
  <c r="J69" i="1"/>
  <c r="J70" i="1"/>
  <c r="J71" i="1"/>
  <c r="J73" i="1"/>
  <c r="J74" i="1"/>
  <c r="J75" i="1"/>
  <c r="J76" i="1"/>
  <c r="J77" i="1"/>
  <c r="J78" i="1"/>
  <c r="J79" i="1"/>
  <c r="J80" i="1"/>
  <c r="J81" i="1"/>
  <c r="J66" i="1"/>
  <c r="BB51" i="1"/>
  <c r="BB52" i="1"/>
  <c r="BB54" i="1"/>
  <c r="BB55" i="1"/>
  <c r="BB57" i="1"/>
  <c r="BB58" i="1"/>
  <c r="BB50" i="1"/>
  <c r="BA51" i="1"/>
  <c r="BA52" i="1"/>
  <c r="BA54" i="1"/>
  <c r="BA55" i="1"/>
  <c r="BA57" i="1"/>
  <c r="BA58" i="1"/>
  <c r="BA50" i="1"/>
  <c r="AV47" i="1"/>
  <c r="AV48" i="1"/>
  <c r="AV52" i="1"/>
  <c r="AV54" i="1"/>
  <c r="AV55" i="1"/>
  <c r="AV57" i="1"/>
  <c r="AV58" i="1"/>
  <c r="AV59" i="1"/>
  <c r="AV60" i="1"/>
  <c r="AV61" i="1"/>
  <c r="AV46" i="1"/>
  <c r="AU47" i="1"/>
  <c r="AU48" i="1"/>
  <c r="AU52" i="1"/>
  <c r="AU54" i="1"/>
  <c r="AU55" i="1"/>
  <c r="AU57" i="1"/>
  <c r="AU58" i="1"/>
  <c r="AU59" i="1"/>
  <c r="AU60" i="1"/>
  <c r="AU61" i="1"/>
  <c r="AU46" i="1"/>
  <c r="AP47" i="1"/>
  <c r="AP48" i="1"/>
  <c r="AP49" i="1"/>
  <c r="AP54" i="1"/>
  <c r="AP57" i="1"/>
  <c r="AP59" i="1"/>
  <c r="AP60" i="1"/>
  <c r="AP61" i="1"/>
  <c r="AP46" i="1"/>
  <c r="AO47" i="1"/>
  <c r="AO48" i="1"/>
  <c r="AO49" i="1"/>
  <c r="AO54" i="1"/>
  <c r="AO57" i="1"/>
  <c r="AO59" i="1"/>
  <c r="AO60" i="1"/>
  <c r="AO61" i="1"/>
  <c r="AO46" i="1"/>
  <c r="AJ48" i="1"/>
  <c r="AJ49" i="1"/>
  <c r="AJ50" i="1"/>
  <c r="AJ51" i="1"/>
  <c r="AJ53" i="1"/>
  <c r="AJ54" i="1"/>
  <c r="AJ55" i="1"/>
  <c r="AJ56" i="1"/>
  <c r="AJ57" i="1"/>
  <c r="AJ58" i="1"/>
  <c r="AJ59" i="1"/>
  <c r="AJ60" i="1"/>
  <c r="AJ61" i="1"/>
  <c r="AJ47" i="1"/>
  <c r="AI48" i="1"/>
  <c r="AI49" i="1"/>
  <c r="AI50" i="1"/>
  <c r="AI51" i="1"/>
  <c r="AI53" i="1"/>
  <c r="AI54" i="1"/>
  <c r="AI55" i="1"/>
  <c r="AI56" i="1"/>
  <c r="AI57" i="1"/>
  <c r="AI58" i="1"/>
  <c r="AI59" i="1"/>
  <c r="AI60" i="1"/>
  <c r="AI61" i="1"/>
  <c r="AI47" i="1"/>
  <c r="AD61" i="1"/>
  <c r="AD47" i="1"/>
  <c r="AD48" i="1"/>
  <c r="AD49" i="1"/>
  <c r="AD50" i="1"/>
  <c r="AD51" i="1"/>
  <c r="AD53" i="1"/>
  <c r="AD54" i="1"/>
  <c r="AD55" i="1"/>
  <c r="AD56" i="1"/>
  <c r="AD57" i="1"/>
  <c r="AD58" i="1"/>
  <c r="AD59" i="1"/>
  <c r="AD60" i="1"/>
  <c r="AD46" i="1"/>
  <c r="AC47" i="1"/>
  <c r="AC48" i="1"/>
  <c r="AC49" i="1"/>
  <c r="AC50" i="1"/>
  <c r="AC51" i="1"/>
  <c r="AC53" i="1"/>
  <c r="AC54" i="1"/>
  <c r="AC55" i="1"/>
  <c r="AC56" i="1"/>
  <c r="AC57" i="1"/>
  <c r="AC58" i="1"/>
  <c r="AC59" i="1"/>
  <c r="AC60" i="1"/>
  <c r="AC61" i="1"/>
  <c r="AC46" i="1"/>
  <c r="X47" i="1"/>
  <c r="X48" i="1"/>
  <c r="X49" i="1"/>
  <c r="X50" i="1"/>
  <c r="X51" i="1"/>
  <c r="X53" i="1"/>
  <c r="X54" i="1"/>
  <c r="X55" i="1"/>
  <c r="X56" i="1"/>
  <c r="X57" i="1"/>
  <c r="X58" i="1"/>
  <c r="X59" i="1"/>
  <c r="X60" i="1"/>
  <c r="X61" i="1"/>
  <c r="X46" i="1"/>
  <c r="W47" i="1"/>
  <c r="W48" i="1"/>
  <c r="W49" i="1"/>
  <c r="W50" i="1"/>
  <c r="W51" i="1"/>
  <c r="W53" i="1"/>
  <c r="W54" i="1"/>
  <c r="W55" i="1"/>
  <c r="W56" i="1"/>
  <c r="W57" i="1"/>
  <c r="W58" i="1"/>
  <c r="W59" i="1"/>
  <c r="W60" i="1"/>
  <c r="W61" i="1"/>
  <c r="W46" i="1"/>
  <c r="R47" i="1"/>
  <c r="R48" i="1"/>
  <c r="R49" i="1"/>
  <c r="R50" i="1"/>
  <c r="R51" i="1"/>
  <c r="R53" i="1"/>
  <c r="R54" i="1"/>
  <c r="R55" i="1"/>
  <c r="R56" i="1"/>
  <c r="R57" i="1"/>
  <c r="R58" i="1"/>
  <c r="R59" i="1"/>
  <c r="R60" i="1"/>
  <c r="R61" i="1"/>
  <c r="R46" i="1"/>
  <c r="Q47" i="1"/>
  <c r="Q48" i="1"/>
  <c r="Q49" i="1"/>
  <c r="Q50" i="1"/>
  <c r="Q51" i="1"/>
  <c r="Q53" i="1"/>
  <c r="Q54" i="1"/>
  <c r="Q55" i="1"/>
  <c r="Q56" i="1"/>
  <c r="Q57" i="1"/>
  <c r="Q58" i="1"/>
  <c r="Q59" i="1"/>
  <c r="Q60" i="1"/>
  <c r="Q61" i="1"/>
  <c r="Q46" i="1"/>
  <c r="K47" i="1"/>
  <c r="K48" i="1"/>
  <c r="K49" i="1"/>
  <c r="K50" i="1"/>
  <c r="K51" i="1"/>
  <c r="K53" i="1"/>
  <c r="K54" i="1"/>
  <c r="K55" i="1"/>
  <c r="K56" i="1"/>
  <c r="K57" i="1"/>
  <c r="K58" i="1"/>
  <c r="K59" i="1"/>
  <c r="K60" i="1"/>
  <c r="K61" i="1"/>
  <c r="K46" i="1"/>
  <c r="J47" i="1"/>
  <c r="J48" i="1"/>
  <c r="J49" i="1"/>
  <c r="J50" i="1"/>
  <c r="J51" i="1"/>
  <c r="J53" i="1"/>
  <c r="J54" i="1"/>
  <c r="J55" i="1"/>
  <c r="J56" i="1"/>
  <c r="J57" i="1"/>
  <c r="J58" i="1"/>
  <c r="J59" i="1"/>
  <c r="J60" i="1"/>
  <c r="J61" i="1"/>
  <c r="J4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6" i="1"/>
  <c r="BB30" i="1"/>
  <c r="BB34" i="1"/>
  <c r="BB38" i="1"/>
  <c r="BB9" i="1"/>
  <c r="BB11" i="1"/>
  <c r="BB14" i="1"/>
  <c r="BA34" i="1"/>
  <c r="BA38" i="1"/>
  <c r="BA9" i="1"/>
  <c r="BA11" i="1"/>
  <c r="BA14" i="1"/>
  <c r="BA30" i="1"/>
  <c r="AV35" i="1"/>
  <c r="AV38" i="1"/>
  <c r="AV39" i="1"/>
  <c r="AV40" i="1"/>
  <c r="AV41" i="1"/>
  <c r="AV7" i="1"/>
  <c r="AV8" i="1"/>
  <c r="AV9" i="1"/>
  <c r="AV11" i="1"/>
  <c r="AV13" i="1"/>
  <c r="AV14" i="1"/>
  <c r="AV15" i="1"/>
  <c r="AV17" i="1"/>
  <c r="AV18" i="1"/>
  <c r="AV19" i="1"/>
  <c r="AV20" i="1"/>
  <c r="AV21" i="1"/>
  <c r="AV26" i="1"/>
  <c r="AV27" i="1"/>
  <c r="AV28" i="1"/>
  <c r="AV29" i="1"/>
  <c r="AV31" i="1"/>
  <c r="AV33" i="1"/>
  <c r="AV34" i="1"/>
  <c r="AU31" i="1"/>
  <c r="AU33" i="1"/>
  <c r="AU34" i="1"/>
  <c r="AU35" i="1"/>
  <c r="AU38" i="1"/>
  <c r="AU39" i="1"/>
  <c r="AU40" i="1"/>
  <c r="AU41" i="1"/>
  <c r="AU7" i="1"/>
  <c r="AU8" i="1"/>
  <c r="AU9" i="1"/>
  <c r="AU11" i="1"/>
  <c r="AU13" i="1"/>
  <c r="AU14" i="1"/>
  <c r="AU15" i="1"/>
  <c r="AU17" i="1"/>
  <c r="AU18" i="1"/>
  <c r="AU19" i="1"/>
  <c r="AU20" i="1"/>
  <c r="AU21" i="1"/>
  <c r="AU26" i="1"/>
  <c r="AU27" i="1"/>
  <c r="AU28" i="1"/>
  <c r="AU29" i="1"/>
  <c r="AV6" i="1"/>
  <c r="AU6" i="1"/>
  <c r="AP40" i="1"/>
  <c r="AP41" i="1"/>
  <c r="AP7" i="1"/>
  <c r="AP8" i="1"/>
  <c r="AP9" i="1"/>
  <c r="AP10" i="1"/>
  <c r="AP11" i="1"/>
  <c r="AP12" i="1"/>
  <c r="AP13" i="1"/>
  <c r="AP14" i="1"/>
  <c r="AP15" i="1"/>
  <c r="AP16" i="1"/>
  <c r="AP19" i="1"/>
  <c r="AP20" i="1"/>
  <c r="AP21" i="1"/>
  <c r="AP26" i="1"/>
  <c r="AP27" i="1"/>
  <c r="AP28" i="1"/>
  <c r="AP29" i="1"/>
  <c r="AP31" i="1"/>
  <c r="AP33" i="1"/>
  <c r="AP34" i="1"/>
  <c r="AP35" i="1"/>
  <c r="AP38" i="1"/>
  <c r="AP39" i="1"/>
  <c r="AP6" i="1"/>
  <c r="AO7" i="1"/>
  <c r="AO8" i="1"/>
  <c r="AO9" i="1"/>
  <c r="AO10" i="1"/>
  <c r="AO11" i="1"/>
  <c r="AO12" i="1"/>
  <c r="AO13" i="1"/>
  <c r="AO14" i="1"/>
  <c r="AO15" i="1"/>
  <c r="AO16" i="1"/>
  <c r="AO19" i="1"/>
  <c r="AO20" i="1"/>
  <c r="AO21" i="1"/>
  <c r="AO26" i="1"/>
  <c r="AO27" i="1"/>
  <c r="AO28" i="1"/>
  <c r="AO29" i="1"/>
  <c r="AO31" i="1"/>
  <c r="AO33" i="1"/>
  <c r="AO34" i="1"/>
  <c r="AO35" i="1"/>
  <c r="AO38" i="1"/>
  <c r="AO39" i="1"/>
  <c r="AO40" i="1"/>
  <c r="AO41" i="1"/>
  <c r="AO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6" i="1"/>
  <c r="AJ27" i="1"/>
  <c r="AJ28" i="1"/>
  <c r="AJ29" i="1"/>
  <c r="AJ30" i="1"/>
  <c r="AJ31" i="1"/>
  <c r="AJ32" i="1"/>
  <c r="AJ33" i="1"/>
  <c r="AJ34" i="1"/>
  <c r="AJ35" i="1"/>
  <c r="AJ37" i="1"/>
  <c r="AJ38" i="1"/>
  <c r="AJ39" i="1"/>
  <c r="AJ40" i="1"/>
  <c r="AJ41" i="1"/>
  <c r="AI7" i="1"/>
  <c r="AI8" i="1"/>
  <c r="AI9" i="1"/>
  <c r="AI10" i="1"/>
  <c r="AI11" i="1"/>
  <c r="AI12" i="1"/>
  <c r="AI13" i="1"/>
  <c r="AI14" i="1"/>
  <c r="AI15" i="1"/>
  <c r="AI17" i="1"/>
  <c r="AI18" i="1"/>
  <c r="AI19" i="1"/>
  <c r="AI20" i="1"/>
  <c r="AI21" i="1"/>
  <c r="AI26" i="1"/>
  <c r="AI27" i="1"/>
  <c r="AI28" i="1"/>
  <c r="AI29" i="1"/>
  <c r="AI30" i="1"/>
  <c r="AI31" i="1"/>
  <c r="AI32" i="1"/>
  <c r="AI33" i="1"/>
  <c r="AI34" i="1"/>
  <c r="AI35" i="1"/>
  <c r="AI37" i="1"/>
  <c r="AI38" i="1"/>
  <c r="AI39" i="1"/>
  <c r="AI40" i="1"/>
  <c r="AI41" i="1"/>
  <c r="AJ6" i="1"/>
  <c r="AI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D6" i="1"/>
  <c r="AC6" i="1"/>
  <c r="X34" i="1"/>
  <c r="X35" i="1"/>
  <c r="X36" i="1"/>
  <c r="X37" i="1"/>
  <c r="X38" i="1"/>
  <c r="X39" i="1"/>
  <c r="X40" i="1"/>
  <c r="X41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6" i="1"/>
  <c r="X27" i="1"/>
  <c r="X28" i="1"/>
  <c r="X29" i="1"/>
  <c r="X30" i="1"/>
  <c r="X31" i="1"/>
  <c r="X32" i="1"/>
  <c r="X33" i="1"/>
  <c r="W21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X6" i="1"/>
  <c r="W6" i="1"/>
  <c r="Q41" i="1"/>
  <c r="R41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R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6" i="1"/>
  <c r="K26" i="1" l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</calcChain>
</file>

<file path=xl/sharedStrings.xml><?xml version="1.0" encoding="utf-8"?>
<sst xmlns="http://schemas.openxmlformats.org/spreadsheetml/2006/main" count="441" uniqueCount="94">
  <si>
    <t>Thèse Marie</t>
  </si>
  <si>
    <t>Nom</t>
  </si>
  <si>
    <t>Prénom</t>
  </si>
  <si>
    <t>ID</t>
  </si>
  <si>
    <t>Age</t>
  </si>
  <si>
    <t>Sexe</t>
  </si>
  <si>
    <t>COTTIER</t>
  </si>
  <si>
    <t>NATHAN</t>
  </si>
  <si>
    <t>Male</t>
  </si>
  <si>
    <t>JOURAND</t>
  </si>
  <si>
    <t>PHILIPPE</t>
  </si>
  <si>
    <t>LE BOT</t>
  </si>
  <si>
    <t>JEREMY</t>
  </si>
  <si>
    <t>DAVENEL</t>
  </si>
  <si>
    <t>ALEXIS</t>
  </si>
  <si>
    <t>POTIRON</t>
  </si>
  <si>
    <t>THIERRY</t>
  </si>
  <si>
    <t>DELOBEAU</t>
  </si>
  <si>
    <t>STEPHANIE</t>
  </si>
  <si>
    <t>Female</t>
  </si>
  <si>
    <t>BAUDOUIN</t>
  </si>
  <si>
    <t>LUC</t>
  </si>
  <si>
    <t>DUPRE</t>
  </si>
  <si>
    <t>LAURENT</t>
  </si>
  <si>
    <t>PIFFETEAU</t>
  </si>
  <si>
    <t>SANDRINE</t>
  </si>
  <si>
    <t>CRENN</t>
  </si>
  <si>
    <t>FRANCOISE</t>
  </si>
  <si>
    <t>N201002103</t>
  </si>
  <si>
    <t>MARTIN</t>
  </si>
  <si>
    <t>JEAN-PIERRE</t>
  </si>
  <si>
    <t>202500191</t>
  </si>
  <si>
    <t>DAY</t>
  </si>
  <si>
    <t>PATRICK</t>
  </si>
  <si>
    <t>202502924</t>
  </si>
  <si>
    <t>TETEAU</t>
  </si>
  <si>
    <t>JEAN</t>
  </si>
  <si>
    <t>202503795</t>
  </si>
  <si>
    <t>AMERFORT</t>
  </si>
  <si>
    <t>MARIE-ANGE</t>
  </si>
  <si>
    <t>202420053</t>
  </si>
  <si>
    <t>KREMBSER</t>
  </si>
  <si>
    <t>MARVIN</t>
  </si>
  <si>
    <t>202417687</t>
  </si>
  <si>
    <t>DIXNEUF</t>
  </si>
  <si>
    <t>ALBERT</t>
  </si>
  <si>
    <t>202502484</t>
  </si>
  <si>
    <t>AMSA</t>
  </si>
  <si>
    <t>12 Dose Moyenne [Gy]</t>
  </si>
  <si>
    <t>13 Dose Moyenne [Gy]</t>
  </si>
  <si>
    <t>14 Dose Moyenne [Gy]</t>
  </si>
  <si>
    <t>15 Dose Moyenne [Gy]</t>
  </si>
  <si>
    <t>16 Dose Moyenne [Gy]</t>
  </si>
  <si>
    <t>17 Dose Moyenne [Gy]</t>
  </si>
  <si>
    <t>18 Dose Moyenne [Gy]</t>
  </si>
  <si>
    <t>21 Dose Moyenne [Gy]</t>
  </si>
  <si>
    <t>22 Dose Moyenne [Gy]</t>
  </si>
  <si>
    <t>23 Dose Moyenne [Gy]</t>
  </si>
  <si>
    <t>24 Dose Moyenne [Gy]</t>
  </si>
  <si>
    <t>25 Dose Moyenne [Gy]</t>
  </si>
  <si>
    <t>27 Dose Moyenne [Gy]</t>
  </si>
  <si>
    <t>28 Dose Moyenne [Gy]</t>
  </si>
  <si>
    <t>31 Dose Moyenne [Gy]</t>
  </si>
  <si>
    <t>32 Dose Moyenne [Gy]</t>
  </si>
  <si>
    <t>33 Dose Moyenne [Gy]</t>
  </si>
  <si>
    <t>34 Dose Moyenne [Gy]</t>
  </si>
  <si>
    <t>35 Dose Moyenne [Gy]</t>
  </si>
  <si>
    <t>36 Dose Moyenne [Gy]</t>
  </si>
  <si>
    <t>37 Dose Moyenne [Gy]</t>
  </si>
  <si>
    <t>38 Dose Moyenne [Gy]</t>
  </si>
  <si>
    <t>41 Dose Moyenne [Gy]</t>
  </si>
  <si>
    <t>42 Dose Moyenne [Gy]</t>
  </si>
  <si>
    <t>43 Dose Moyenne [Gy]</t>
  </si>
  <si>
    <t>44 Dose Moyenne [Gy]</t>
  </si>
  <si>
    <t>45 Dose Moyenne [Gy]</t>
  </si>
  <si>
    <t>46 Dose Moyenne [Gy]</t>
  </si>
  <si>
    <t>47 Dose Moyenne [Gy]</t>
  </si>
  <si>
    <t>48 Dose Max [Gy]</t>
  </si>
  <si>
    <t>Secteur 1</t>
  </si>
  <si>
    <t>Secteur 2</t>
  </si>
  <si>
    <t>Secteur 3</t>
  </si>
  <si>
    <t>Secteur 4</t>
  </si>
  <si>
    <t>26 Dose Max [Gy]</t>
  </si>
  <si>
    <t>MANUEL</t>
  </si>
  <si>
    <t>Manuel-AMAA</t>
  </si>
  <si>
    <t>DERO</t>
  </si>
  <si>
    <t>Manuel-DERO</t>
  </si>
  <si>
    <t>M- DERO ajusté</t>
  </si>
  <si>
    <t>Manuel-DERO	M- DERO ajusté</t>
  </si>
  <si>
    <t>DERO-ajusté</t>
  </si>
  <si>
    <t>AMSA: avec modif sans angle</t>
  </si>
  <si>
    <t>DERO-ajusté : avec modif avec angle</t>
  </si>
  <si>
    <t>DERO : sans modif sans angle</t>
  </si>
  <si>
    <t>dose moyenne ds cylindre (Gy)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</si>
</sst>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3" borderId="0" xfId="0" applyFont="1" applyFill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5" fillId="0" borderId="0" xfId="0" applyFo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09D3-93D1-4994-8938-13E51A554D62}">
  <dimension ref="A1:BB81"/>
  <sheetViews>
    <sheetView tabSelected="1" topLeftCell="G40" zoomScale="85" zoomScaleNormal="50" workbookViewId="0">
      <selection activeCell="Q65" sqref="Q65:R65"/>
    </sheetView>
  </sheetViews>
  <sheetFormatPr baseColWidth="10" defaultRowHeight="15" x14ac:dyDescent="0.2"/>
  <cols>
    <col min="9" max="12" width="11.5" customWidth="1"/>
  </cols>
  <sheetData>
    <row r="1" spans="1:54" x14ac:dyDescent="0.2">
      <c r="A1" t="s">
        <v>0</v>
      </c>
      <c r="D1" t="s">
        <v>92</v>
      </c>
      <c r="G1" t="s">
        <v>90</v>
      </c>
      <c r="M1" t="s">
        <v>91</v>
      </c>
    </row>
    <row r="2" spans="1:54" x14ac:dyDescent="0.2">
      <c r="D2" t="s">
        <v>93</v>
      </c>
    </row>
    <row r="4" spans="1:54" x14ac:dyDescent="0.2">
      <c r="A4" s="3" t="s">
        <v>78</v>
      </c>
      <c r="F4" s="4">
        <v>11</v>
      </c>
      <c r="M4" s="4">
        <v>12</v>
      </c>
      <c r="S4" s="4">
        <v>13</v>
      </c>
      <c r="Y4" s="4">
        <v>14</v>
      </c>
      <c r="AE4" s="4">
        <v>15</v>
      </c>
      <c r="AK4" s="4">
        <v>16</v>
      </c>
      <c r="AQ4" s="4">
        <v>17</v>
      </c>
      <c r="AW4" s="4">
        <v>18</v>
      </c>
    </row>
    <row r="5" spans="1:54" x14ac:dyDescent="0.2">
      <c r="A5" t="s">
        <v>1</v>
      </c>
      <c r="B5" t="s">
        <v>2</v>
      </c>
      <c r="C5" t="s">
        <v>3</v>
      </c>
      <c r="D5" t="s">
        <v>4</v>
      </c>
      <c r="E5" t="s">
        <v>5</v>
      </c>
      <c r="F5" s="1" t="s">
        <v>83</v>
      </c>
      <c r="G5" t="s">
        <v>85</v>
      </c>
      <c r="H5" s="7" t="s">
        <v>47</v>
      </c>
      <c r="I5" t="s">
        <v>89</v>
      </c>
      <c r="J5" t="s">
        <v>86</v>
      </c>
      <c r="K5" t="s">
        <v>87</v>
      </c>
      <c r="M5" s="1" t="s">
        <v>48</v>
      </c>
      <c r="N5" t="s">
        <v>85</v>
      </c>
      <c r="O5" t="s">
        <v>47</v>
      </c>
      <c r="P5" t="s">
        <v>89</v>
      </c>
      <c r="Q5" t="s">
        <v>88</v>
      </c>
      <c r="R5" t="s">
        <v>84</v>
      </c>
      <c r="S5" s="1" t="s">
        <v>49</v>
      </c>
      <c r="T5" t="s">
        <v>85</v>
      </c>
      <c r="U5" t="s">
        <v>47</v>
      </c>
      <c r="V5" t="s">
        <v>89</v>
      </c>
      <c r="W5" s="6" t="s">
        <v>86</v>
      </c>
      <c r="X5" s="6" t="s">
        <v>87</v>
      </c>
      <c r="Y5" s="1" t="s">
        <v>50</v>
      </c>
      <c r="Z5" t="s">
        <v>85</v>
      </c>
      <c r="AA5" t="s">
        <v>47</v>
      </c>
      <c r="AB5" t="s">
        <v>89</v>
      </c>
      <c r="AC5" s="6" t="s">
        <v>86</v>
      </c>
      <c r="AD5" s="6" t="s">
        <v>87</v>
      </c>
      <c r="AE5" s="1" t="s">
        <v>51</v>
      </c>
      <c r="AF5" t="s">
        <v>85</v>
      </c>
      <c r="AG5" t="s">
        <v>47</v>
      </c>
      <c r="AH5" t="s">
        <v>89</v>
      </c>
      <c r="AI5" s="6" t="s">
        <v>86</v>
      </c>
      <c r="AJ5" s="6" t="s">
        <v>87</v>
      </c>
      <c r="AK5" s="1" t="s">
        <v>52</v>
      </c>
      <c r="AL5" t="s">
        <v>85</v>
      </c>
      <c r="AM5" t="s">
        <v>47</v>
      </c>
      <c r="AN5" t="s">
        <v>89</v>
      </c>
      <c r="AO5" s="6" t="s">
        <v>86</v>
      </c>
      <c r="AP5" s="6" t="s">
        <v>87</v>
      </c>
      <c r="AQ5" s="1" t="s">
        <v>53</v>
      </c>
      <c r="AR5" s="6" t="s">
        <v>85</v>
      </c>
      <c r="AS5" t="s">
        <v>47</v>
      </c>
      <c r="AT5" t="s">
        <v>89</v>
      </c>
      <c r="AU5" s="6" t="s">
        <v>86</v>
      </c>
      <c r="AV5" s="6" t="s">
        <v>87</v>
      </c>
      <c r="AW5" s="1" t="s">
        <v>54</v>
      </c>
      <c r="AX5" s="6" t="s">
        <v>85</v>
      </c>
      <c r="AY5" t="s">
        <v>47</v>
      </c>
      <c r="AZ5" t="s">
        <v>89</v>
      </c>
      <c r="BA5" s="6" t="s">
        <v>86</v>
      </c>
      <c r="BB5" s="6" t="s">
        <v>87</v>
      </c>
    </row>
    <row r="6" spans="1:54" x14ac:dyDescent="0.2">
      <c r="A6" t="s">
        <v>6</v>
      </c>
      <c r="B6" t="s">
        <v>7</v>
      </c>
      <c r="C6">
        <v>202504447</v>
      </c>
      <c r="D6">
        <v>28</v>
      </c>
      <c r="E6" t="s">
        <v>8</v>
      </c>
      <c r="F6" s="2">
        <v>21.431000000000001</v>
      </c>
      <c r="G6">
        <v>20.574000000000002</v>
      </c>
      <c r="H6" s="7">
        <v>20.802</v>
      </c>
      <c r="I6">
        <v>20.902000000000001</v>
      </c>
      <c r="J6">
        <f>ABS(F6-G6)</f>
        <v>0.85699999999999932</v>
      </c>
      <c r="K6">
        <f>ABS(F6-I6)</f>
        <v>0.52899999999999991</v>
      </c>
      <c r="M6" s="2">
        <v>20.699000000000002</v>
      </c>
      <c r="N6">
        <v>20.279</v>
      </c>
      <c r="O6">
        <v>20.47</v>
      </c>
      <c r="P6">
        <v>20.69</v>
      </c>
      <c r="Q6">
        <f>M6-N6</f>
        <v>0.42000000000000171</v>
      </c>
      <c r="R6">
        <f>M6-P6</f>
        <v>9.0000000000003411E-3</v>
      </c>
      <c r="S6" s="2">
        <v>22.423999999999999</v>
      </c>
      <c r="T6">
        <v>22.15</v>
      </c>
      <c r="U6">
        <v>22.15</v>
      </c>
      <c r="V6">
        <v>22.353999999999999</v>
      </c>
      <c r="W6">
        <f>S6-T6</f>
        <v>0.27400000000000091</v>
      </c>
      <c r="X6">
        <f>S6-V6</f>
        <v>7.0000000000000284E-2</v>
      </c>
      <c r="Y6" s="2">
        <v>27.254000000000001</v>
      </c>
      <c r="Z6">
        <v>27.134</v>
      </c>
      <c r="AA6">
        <v>27.134</v>
      </c>
      <c r="AB6">
        <v>27.138999999999999</v>
      </c>
      <c r="AC6">
        <f>Y6-Z6</f>
        <v>0.12000000000000099</v>
      </c>
      <c r="AD6">
        <f>Y6-AB6</f>
        <v>0.11500000000000199</v>
      </c>
      <c r="AE6" s="2">
        <v>29.286999999999999</v>
      </c>
      <c r="AF6">
        <v>29.206</v>
      </c>
      <c r="AG6">
        <v>29.206</v>
      </c>
      <c r="AH6">
        <v>29.09</v>
      </c>
      <c r="AI6">
        <f>AE6-AF6</f>
        <v>8.0999999999999517E-2</v>
      </c>
      <c r="AJ6">
        <f>AE6-AH6</f>
        <v>0.19699999999999918</v>
      </c>
      <c r="AK6" s="2">
        <v>33.215000000000003</v>
      </c>
      <c r="AL6">
        <v>34.161999999999999</v>
      </c>
      <c r="AM6">
        <v>34.161999999999999</v>
      </c>
      <c r="AN6">
        <v>34.200000000000003</v>
      </c>
      <c r="AO6">
        <f>AK6-AL6</f>
        <v>-0.94699999999999562</v>
      </c>
      <c r="AP6">
        <f>AK6-AN6</f>
        <v>-0.98499999999999943</v>
      </c>
      <c r="AQ6" s="2">
        <v>33.585999999999999</v>
      </c>
      <c r="AR6">
        <v>36.088000000000001</v>
      </c>
      <c r="AS6">
        <v>36.688000000000002</v>
      </c>
      <c r="AT6">
        <v>36.587000000000003</v>
      </c>
      <c r="AU6">
        <f>AQ6-AR6</f>
        <v>-2.5020000000000024</v>
      </c>
      <c r="AV6">
        <f>AQ6-AT6</f>
        <v>-3.0010000000000048</v>
      </c>
      <c r="AW6" s="2"/>
    </row>
    <row r="7" spans="1:54" x14ac:dyDescent="0.2">
      <c r="A7" t="s">
        <v>9</v>
      </c>
      <c r="B7" t="s">
        <v>10</v>
      </c>
      <c r="C7">
        <v>202505770</v>
      </c>
      <c r="D7">
        <v>56</v>
      </c>
      <c r="E7" t="s">
        <v>8</v>
      </c>
      <c r="F7" s="2">
        <v>14.095000000000001</v>
      </c>
      <c r="G7">
        <v>13.464</v>
      </c>
      <c r="H7" s="7">
        <v>13.464</v>
      </c>
      <c r="I7">
        <v>13.487</v>
      </c>
      <c r="J7">
        <f t="shared" ref="J7:J21" si="0">ABS(F7-G7)</f>
        <v>0.63100000000000023</v>
      </c>
      <c r="K7">
        <f t="shared" ref="K7:K21" si="1">ABS(F7-I7)</f>
        <v>0.60800000000000054</v>
      </c>
      <c r="M7" s="2">
        <v>14.029</v>
      </c>
      <c r="N7">
        <v>13.679</v>
      </c>
      <c r="O7">
        <v>13.798999999999999</v>
      </c>
      <c r="P7">
        <v>13.962</v>
      </c>
      <c r="Q7">
        <f t="shared" ref="Q7:Q41" si="2">M7-N7</f>
        <v>0.34999999999999964</v>
      </c>
      <c r="R7">
        <f t="shared" ref="R7:R41" si="3">M7-P7</f>
        <v>6.7000000000000171E-2</v>
      </c>
      <c r="S7" s="2">
        <v>15.936</v>
      </c>
      <c r="T7">
        <v>15.189</v>
      </c>
      <c r="U7">
        <v>15.189</v>
      </c>
      <c r="V7">
        <v>15.189</v>
      </c>
      <c r="W7">
        <f t="shared" ref="W7:W41" si="4">S7-T7</f>
        <v>0.74699999999999989</v>
      </c>
      <c r="X7">
        <f t="shared" ref="X7:X41" si="5">S7-V7</f>
        <v>0.74699999999999989</v>
      </c>
      <c r="Y7" s="2">
        <v>17.986000000000001</v>
      </c>
      <c r="Z7">
        <v>17.721</v>
      </c>
      <c r="AA7">
        <v>17.721</v>
      </c>
      <c r="AB7">
        <v>17.763999999999999</v>
      </c>
      <c r="AC7">
        <f t="shared" ref="AC7:AC41" si="6">Y7-Z7</f>
        <v>0.26500000000000057</v>
      </c>
      <c r="AD7">
        <f t="shared" ref="AD7:AD41" si="7">Y7-AB7</f>
        <v>0.22200000000000131</v>
      </c>
      <c r="AE7" s="2">
        <v>19.760999999999999</v>
      </c>
      <c r="AF7">
        <v>19.774999999999999</v>
      </c>
      <c r="AG7">
        <v>19.774999999999999</v>
      </c>
      <c r="AH7">
        <v>19.759</v>
      </c>
      <c r="AI7">
        <f t="shared" ref="AI7:AI41" si="8">AE7-AF7</f>
        <v>-1.3999999999999346E-2</v>
      </c>
      <c r="AJ7">
        <f t="shared" ref="AJ7:AJ41" si="9">AE7-AH7</f>
        <v>1.9999999999988916E-3</v>
      </c>
      <c r="AK7" s="2">
        <v>22.61</v>
      </c>
      <c r="AL7">
        <v>21.881</v>
      </c>
      <c r="AM7">
        <v>22.413</v>
      </c>
      <c r="AN7">
        <v>22.51</v>
      </c>
      <c r="AO7">
        <f t="shared" ref="AO7:AO41" si="10">AK7-AL7</f>
        <v>0.7289999999999992</v>
      </c>
      <c r="AP7">
        <f t="shared" ref="AP7:AP41" si="11">AK7-AN7</f>
        <v>9.9999999999997868E-2</v>
      </c>
      <c r="AQ7" s="2">
        <v>24.846</v>
      </c>
      <c r="AR7">
        <v>23.59</v>
      </c>
      <c r="AS7">
        <v>26.071000000000002</v>
      </c>
      <c r="AT7">
        <v>26.283000000000001</v>
      </c>
      <c r="AU7">
        <f t="shared" ref="AU7:AU41" si="12">AQ7-AR7</f>
        <v>1.2560000000000002</v>
      </c>
      <c r="AV7">
        <f t="shared" ref="AV7:AV41" si="13">AQ7-AT7</f>
        <v>-1.4370000000000012</v>
      </c>
      <c r="AW7" s="2"/>
    </row>
    <row r="8" spans="1:54" x14ac:dyDescent="0.2">
      <c r="A8" t="s">
        <v>11</v>
      </c>
      <c r="B8" t="s">
        <v>12</v>
      </c>
      <c r="C8">
        <v>202506191</v>
      </c>
      <c r="D8">
        <v>44</v>
      </c>
      <c r="E8" t="s">
        <v>8</v>
      </c>
      <c r="F8" s="2">
        <v>22.378</v>
      </c>
      <c r="G8">
        <v>24.331</v>
      </c>
      <c r="H8" s="7">
        <v>24.331</v>
      </c>
      <c r="I8">
        <v>24.640999999999998</v>
      </c>
      <c r="J8">
        <f t="shared" si="0"/>
        <v>1.9529999999999994</v>
      </c>
      <c r="K8">
        <f t="shared" si="1"/>
        <v>2.2629999999999981</v>
      </c>
      <c r="M8" s="2">
        <v>24.835999999999999</v>
      </c>
      <c r="N8">
        <v>26.88</v>
      </c>
      <c r="O8">
        <v>26.88</v>
      </c>
      <c r="P8">
        <v>27.606000000000002</v>
      </c>
      <c r="Q8">
        <f t="shared" si="2"/>
        <v>-2.0440000000000005</v>
      </c>
      <c r="R8">
        <f t="shared" si="3"/>
        <v>-2.7700000000000031</v>
      </c>
      <c r="S8" s="2">
        <v>32.457000000000001</v>
      </c>
      <c r="T8">
        <v>35.262999999999998</v>
      </c>
      <c r="U8">
        <v>35.262999999999998</v>
      </c>
      <c r="V8">
        <v>35.901000000000003</v>
      </c>
      <c r="W8">
        <f t="shared" si="4"/>
        <v>-2.8059999999999974</v>
      </c>
      <c r="X8">
        <f t="shared" si="5"/>
        <v>-3.4440000000000026</v>
      </c>
      <c r="Y8" s="2">
        <v>34.026000000000003</v>
      </c>
      <c r="Z8">
        <v>38.973999999999997</v>
      </c>
      <c r="AA8">
        <v>38.973999999999997</v>
      </c>
      <c r="AB8">
        <v>38.392000000000003</v>
      </c>
      <c r="AC8">
        <f t="shared" si="6"/>
        <v>-4.9479999999999933</v>
      </c>
      <c r="AD8">
        <f t="shared" si="7"/>
        <v>-4.3659999999999997</v>
      </c>
      <c r="AE8" s="2">
        <v>36.869</v>
      </c>
      <c r="AF8">
        <v>38.811999999999998</v>
      </c>
      <c r="AG8">
        <v>38.811999999999998</v>
      </c>
      <c r="AH8">
        <v>38.689</v>
      </c>
      <c r="AI8">
        <f t="shared" si="8"/>
        <v>-1.9429999999999978</v>
      </c>
      <c r="AJ8">
        <f t="shared" si="9"/>
        <v>-1.8200000000000003</v>
      </c>
      <c r="AK8" s="2">
        <v>37.716999999999999</v>
      </c>
      <c r="AL8">
        <v>43.69</v>
      </c>
      <c r="AM8">
        <v>42.417000000000002</v>
      </c>
      <c r="AN8">
        <v>42.469000000000001</v>
      </c>
      <c r="AO8">
        <f t="shared" si="10"/>
        <v>-5.972999999999999</v>
      </c>
      <c r="AP8">
        <f t="shared" si="11"/>
        <v>-4.7520000000000024</v>
      </c>
      <c r="AQ8" s="2">
        <v>42.542000000000002</v>
      </c>
      <c r="AR8">
        <v>46.743000000000002</v>
      </c>
      <c r="AS8">
        <v>46.082000000000001</v>
      </c>
      <c r="AT8">
        <v>46.164000000000001</v>
      </c>
      <c r="AU8">
        <f t="shared" si="12"/>
        <v>-4.2010000000000005</v>
      </c>
      <c r="AV8">
        <f t="shared" si="13"/>
        <v>-3.6219999999999999</v>
      </c>
      <c r="AW8" s="2"/>
    </row>
    <row r="9" spans="1:54" x14ac:dyDescent="0.2">
      <c r="A9" t="s">
        <v>13</v>
      </c>
      <c r="B9" t="s">
        <v>14</v>
      </c>
      <c r="C9">
        <v>202504764</v>
      </c>
      <c r="D9">
        <v>29</v>
      </c>
      <c r="E9" t="s">
        <v>8</v>
      </c>
      <c r="F9" s="2">
        <v>8.8710000000000004</v>
      </c>
      <c r="G9">
        <v>9.4749999999999996</v>
      </c>
      <c r="H9" s="7">
        <v>9.4689999999999994</v>
      </c>
      <c r="I9">
        <v>9.5250000000000004</v>
      </c>
      <c r="J9">
        <f t="shared" si="0"/>
        <v>0.6039999999999992</v>
      </c>
      <c r="K9">
        <f t="shared" si="1"/>
        <v>0.65399999999999991</v>
      </c>
      <c r="M9" s="2">
        <v>7.992</v>
      </c>
      <c r="N9">
        <v>8.4350000000000005</v>
      </c>
      <c r="O9">
        <v>8.4350000000000005</v>
      </c>
      <c r="P9">
        <v>8.2119999999999997</v>
      </c>
      <c r="Q9">
        <f t="shared" si="2"/>
        <v>-0.4430000000000005</v>
      </c>
      <c r="R9">
        <f t="shared" si="3"/>
        <v>-0.21999999999999975</v>
      </c>
      <c r="S9" s="2">
        <v>7.5650000000000004</v>
      </c>
      <c r="T9">
        <v>7.7069999999999999</v>
      </c>
      <c r="U9">
        <v>7.7069999999999999</v>
      </c>
      <c r="V9">
        <v>7.7880000000000003</v>
      </c>
      <c r="W9">
        <f t="shared" si="4"/>
        <v>-0.14199999999999946</v>
      </c>
      <c r="X9">
        <f t="shared" si="5"/>
        <v>-0.22299999999999986</v>
      </c>
      <c r="Y9" s="2">
        <v>8.6590000000000007</v>
      </c>
      <c r="Z9">
        <v>8.8149999999999995</v>
      </c>
      <c r="AA9">
        <v>8.5549999999999997</v>
      </c>
      <c r="AB9">
        <v>8.5570000000000004</v>
      </c>
      <c r="AC9">
        <f t="shared" si="6"/>
        <v>-0.15599999999999881</v>
      </c>
      <c r="AD9">
        <f t="shared" si="7"/>
        <v>0.10200000000000031</v>
      </c>
      <c r="AE9" s="2">
        <v>7.1890000000000001</v>
      </c>
      <c r="AF9">
        <v>7.4690000000000003</v>
      </c>
      <c r="AG9">
        <v>7.4690000000000003</v>
      </c>
      <c r="AH9">
        <v>7.5049999999999999</v>
      </c>
      <c r="AI9">
        <f t="shared" si="8"/>
        <v>-0.28000000000000025</v>
      </c>
      <c r="AJ9">
        <f t="shared" si="9"/>
        <v>-0.31599999999999984</v>
      </c>
      <c r="AK9" s="2">
        <v>8.8849999999999998</v>
      </c>
      <c r="AL9">
        <v>9.32</v>
      </c>
      <c r="AM9">
        <v>8.7370000000000001</v>
      </c>
      <c r="AN9">
        <v>8.8030000000000008</v>
      </c>
      <c r="AO9">
        <f t="shared" si="10"/>
        <v>-0.4350000000000005</v>
      </c>
      <c r="AP9">
        <f t="shared" si="11"/>
        <v>8.1999999999998963E-2</v>
      </c>
      <c r="AQ9" s="2">
        <v>9.3130000000000006</v>
      </c>
      <c r="AR9">
        <v>9.7390000000000008</v>
      </c>
      <c r="AS9">
        <v>9.2710000000000008</v>
      </c>
      <c r="AT9">
        <v>9.2829999999999995</v>
      </c>
      <c r="AU9">
        <f t="shared" si="12"/>
        <v>-0.42600000000000016</v>
      </c>
      <c r="AV9">
        <f t="shared" si="13"/>
        <v>3.0000000000001137E-2</v>
      </c>
      <c r="AW9" s="2">
        <v>9.6519999999999992</v>
      </c>
      <c r="AX9">
        <v>9.8670000000000009</v>
      </c>
      <c r="AY9">
        <v>10.023</v>
      </c>
      <c r="AZ9">
        <v>10.016</v>
      </c>
      <c r="BA9">
        <f t="shared" ref="BA7:BA41" si="14">AW9-AX9</f>
        <v>-0.21500000000000163</v>
      </c>
      <c r="BB9">
        <f t="shared" ref="BB7:BB41" si="15">AW9-AZ9</f>
        <v>-0.36400000000000077</v>
      </c>
    </row>
    <row r="10" spans="1:54" x14ac:dyDescent="0.2">
      <c r="A10" t="s">
        <v>15</v>
      </c>
      <c r="B10" t="s">
        <v>16</v>
      </c>
      <c r="C10">
        <v>202506605</v>
      </c>
      <c r="D10">
        <v>69</v>
      </c>
      <c r="E10" t="s">
        <v>8</v>
      </c>
      <c r="F10" s="2">
        <v>22.248999999999999</v>
      </c>
      <c r="G10">
        <v>21.638999999999999</v>
      </c>
      <c r="H10" s="7">
        <v>21.638999999999999</v>
      </c>
      <c r="I10">
        <v>21.94</v>
      </c>
      <c r="J10">
        <f t="shared" si="0"/>
        <v>0.60999999999999943</v>
      </c>
      <c r="K10">
        <f t="shared" si="1"/>
        <v>0.3089999999999975</v>
      </c>
      <c r="M10" s="2">
        <v>26.771000000000001</v>
      </c>
      <c r="N10">
        <v>25.433</v>
      </c>
      <c r="O10">
        <v>26.184000000000001</v>
      </c>
      <c r="P10">
        <v>26.707999999999998</v>
      </c>
      <c r="Q10">
        <f t="shared" si="2"/>
        <v>1.338000000000001</v>
      </c>
      <c r="R10">
        <f t="shared" si="3"/>
        <v>6.3000000000002387E-2</v>
      </c>
      <c r="S10" s="2">
        <v>31.632999999999999</v>
      </c>
      <c r="T10">
        <v>28.879000000000001</v>
      </c>
      <c r="U10">
        <v>28.879000000000001</v>
      </c>
      <c r="V10">
        <v>29.23</v>
      </c>
      <c r="W10">
        <f t="shared" si="4"/>
        <v>2.7539999999999978</v>
      </c>
      <c r="X10">
        <f t="shared" si="5"/>
        <v>2.4029999999999987</v>
      </c>
      <c r="Y10" s="2">
        <v>36.695999999999998</v>
      </c>
      <c r="Z10">
        <v>36.148000000000003</v>
      </c>
      <c r="AA10">
        <v>36.148000000000003</v>
      </c>
      <c r="AB10">
        <v>36.167000000000002</v>
      </c>
      <c r="AC10">
        <f t="shared" si="6"/>
        <v>0.54799999999999471</v>
      </c>
      <c r="AD10">
        <f t="shared" si="7"/>
        <v>0.52899999999999636</v>
      </c>
      <c r="AE10" s="2">
        <v>41.64</v>
      </c>
      <c r="AF10">
        <v>40.095999999999997</v>
      </c>
      <c r="AG10">
        <v>41.615000000000002</v>
      </c>
      <c r="AH10">
        <v>41.091000000000001</v>
      </c>
      <c r="AI10">
        <f t="shared" si="8"/>
        <v>1.544000000000004</v>
      </c>
      <c r="AJ10">
        <f t="shared" si="9"/>
        <v>0.54899999999999949</v>
      </c>
      <c r="AK10" s="2">
        <v>55.453000000000003</v>
      </c>
      <c r="AL10">
        <v>55.777000000000001</v>
      </c>
      <c r="AM10">
        <v>52.136000000000003</v>
      </c>
      <c r="AN10">
        <v>52.716000000000001</v>
      </c>
      <c r="AO10">
        <f t="shared" si="10"/>
        <v>-0.32399999999999807</v>
      </c>
      <c r="AP10">
        <f t="shared" si="11"/>
        <v>2.7370000000000019</v>
      </c>
      <c r="AQ10" s="2"/>
      <c r="AW10" s="2"/>
    </row>
    <row r="11" spans="1:54" x14ac:dyDescent="0.2">
      <c r="A11" t="s">
        <v>17</v>
      </c>
      <c r="B11" t="s">
        <v>18</v>
      </c>
      <c r="C11">
        <v>202506703</v>
      </c>
      <c r="D11">
        <v>49</v>
      </c>
      <c r="E11" t="s">
        <v>19</v>
      </c>
      <c r="F11" s="2">
        <v>11.662000000000001</v>
      </c>
      <c r="G11">
        <v>11.589</v>
      </c>
      <c r="H11" s="7">
        <v>11.589</v>
      </c>
      <c r="I11">
        <v>11.747999999999999</v>
      </c>
      <c r="J11">
        <f t="shared" si="0"/>
        <v>7.3000000000000398E-2</v>
      </c>
      <c r="K11">
        <f t="shared" si="1"/>
        <v>8.5999999999998522E-2</v>
      </c>
      <c r="M11" s="2">
        <v>12.771000000000001</v>
      </c>
      <c r="N11">
        <v>12.882</v>
      </c>
      <c r="O11">
        <v>12.882</v>
      </c>
      <c r="P11">
        <v>13.071</v>
      </c>
      <c r="Q11">
        <f t="shared" si="2"/>
        <v>-0.11099999999999888</v>
      </c>
      <c r="R11">
        <f t="shared" si="3"/>
        <v>-0.29999999999999893</v>
      </c>
      <c r="S11" s="2">
        <v>14.724</v>
      </c>
      <c r="T11">
        <v>14.666</v>
      </c>
      <c r="U11">
        <v>14.666</v>
      </c>
      <c r="V11">
        <v>14.789</v>
      </c>
      <c r="W11">
        <f t="shared" si="4"/>
        <v>5.7999999999999829E-2</v>
      </c>
      <c r="X11">
        <f t="shared" si="5"/>
        <v>-6.4999999999999503E-2</v>
      </c>
      <c r="Y11" s="2">
        <v>16.530999999999999</v>
      </c>
      <c r="Z11">
        <v>16.506</v>
      </c>
      <c r="AA11">
        <v>16.506</v>
      </c>
      <c r="AB11">
        <v>16.474</v>
      </c>
      <c r="AC11">
        <f t="shared" si="6"/>
        <v>2.4999999999998579E-2</v>
      </c>
      <c r="AD11">
        <f t="shared" si="7"/>
        <v>5.6999999999998607E-2</v>
      </c>
      <c r="AE11" s="2">
        <v>18.824999999999999</v>
      </c>
      <c r="AF11">
        <v>18.524999999999999</v>
      </c>
      <c r="AG11">
        <v>18.524999999999999</v>
      </c>
      <c r="AH11">
        <v>18.399999999999999</v>
      </c>
      <c r="AI11">
        <f t="shared" si="8"/>
        <v>0.30000000000000071</v>
      </c>
      <c r="AJ11">
        <f t="shared" si="9"/>
        <v>0.42500000000000071</v>
      </c>
      <c r="AK11" s="2">
        <v>19.788</v>
      </c>
      <c r="AL11">
        <v>19.12</v>
      </c>
      <c r="AM11">
        <v>19.605</v>
      </c>
      <c r="AN11">
        <v>19.687000000000001</v>
      </c>
      <c r="AO11">
        <f t="shared" si="10"/>
        <v>0.66799999999999926</v>
      </c>
      <c r="AP11">
        <f t="shared" si="11"/>
        <v>0.10099999999999909</v>
      </c>
      <c r="AQ11" s="2">
        <v>23.172999999999998</v>
      </c>
      <c r="AR11">
        <v>21.148</v>
      </c>
      <c r="AS11">
        <v>23.388000000000002</v>
      </c>
      <c r="AT11">
        <v>23.67</v>
      </c>
      <c r="AU11">
        <f t="shared" si="12"/>
        <v>2.0249999999999986</v>
      </c>
      <c r="AV11">
        <f t="shared" si="13"/>
        <v>-0.49700000000000344</v>
      </c>
      <c r="AW11" s="2">
        <v>27.716000000000001</v>
      </c>
      <c r="AX11">
        <v>23.193000000000001</v>
      </c>
      <c r="AY11">
        <v>27.943000000000001</v>
      </c>
      <c r="AZ11">
        <v>27.917999999999999</v>
      </c>
      <c r="BA11">
        <f t="shared" si="14"/>
        <v>4.5229999999999997</v>
      </c>
      <c r="BB11">
        <f t="shared" si="15"/>
        <v>-0.20199999999999818</v>
      </c>
    </row>
    <row r="12" spans="1:54" x14ac:dyDescent="0.2">
      <c r="A12" t="s">
        <v>20</v>
      </c>
      <c r="B12" t="s">
        <v>21</v>
      </c>
      <c r="C12">
        <v>202504308</v>
      </c>
      <c r="D12">
        <v>61</v>
      </c>
      <c r="E12" t="s">
        <v>8</v>
      </c>
      <c r="F12" s="2">
        <v>2.843</v>
      </c>
      <c r="G12">
        <v>2.153</v>
      </c>
      <c r="H12" s="7">
        <v>2.153</v>
      </c>
      <c r="I12">
        <v>2.2410000000000001</v>
      </c>
      <c r="J12">
        <f t="shared" si="0"/>
        <v>0.69</v>
      </c>
      <c r="K12">
        <f t="shared" si="1"/>
        <v>0.60199999999999987</v>
      </c>
      <c r="M12" s="2">
        <v>2.903</v>
      </c>
      <c r="N12">
        <v>2.302</v>
      </c>
      <c r="O12">
        <v>2.302</v>
      </c>
      <c r="P12">
        <v>2.331</v>
      </c>
      <c r="Q12">
        <f t="shared" si="2"/>
        <v>0.60099999999999998</v>
      </c>
      <c r="R12">
        <f t="shared" si="3"/>
        <v>0.57200000000000006</v>
      </c>
      <c r="S12" s="2">
        <v>2.782</v>
      </c>
      <c r="T12">
        <v>2.1760000000000002</v>
      </c>
      <c r="U12">
        <v>2.1760000000000002</v>
      </c>
      <c r="V12">
        <v>2.2250000000000001</v>
      </c>
      <c r="W12">
        <f t="shared" si="4"/>
        <v>0.60599999999999987</v>
      </c>
      <c r="X12">
        <f t="shared" si="5"/>
        <v>0.55699999999999994</v>
      </c>
      <c r="Y12" s="2">
        <v>3.125</v>
      </c>
      <c r="Z12">
        <v>2.3849999999999998</v>
      </c>
      <c r="AA12">
        <v>2.3849999999999998</v>
      </c>
      <c r="AB12">
        <v>2.3780000000000001</v>
      </c>
      <c r="AC12">
        <f t="shared" si="6"/>
        <v>0.74000000000000021</v>
      </c>
      <c r="AD12">
        <f t="shared" si="7"/>
        <v>0.74699999999999989</v>
      </c>
      <c r="AE12" s="2">
        <v>3.1110000000000002</v>
      </c>
      <c r="AF12">
        <v>2.2370000000000001</v>
      </c>
      <c r="AG12">
        <v>2.2370000000000001</v>
      </c>
      <c r="AH12">
        <v>2.2240000000000002</v>
      </c>
      <c r="AI12">
        <f t="shared" si="8"/>
        <v>0.87400000000000011</v>
      </c>
      <c r="AJ12">
        <f t="shared" si="9"/>
        <v>0.88700000000000001</v>
      </c>
      <c r="AK12" s="2">
        <v>2.31</v>
      </c>
      <c r="AL12">
        <v>2.2959999999999998</v>
      </c>
      <c r="AM12">
        <v>2.3969999999999998</v>
      </c>
      <c r="AN12">
        <v>2.403</v>
      </c>
      <c r="AO12">
        <f t="shared" si="10"/>
        <v>1.4000000000000234E-2</v>
      </c>
      <c r="AP12">
        <f t="shared" si="11"/>
        <v>-9.2999999999999972E-2</v>
      </c>
      <c r="AQ12" s="2"/>
      <c r="AW12" s="2"/>
    </row>
    <row r="13" spans="1:54" x14ac:dyDescent="0.2">
      <c r="A13" t="s">
        <v>22</v>
      </c>
      <c r="B13" t="s">
        <v>23</v>
      </c>
      <c r="C13">
        <v>202505010</v>
      </c>
      <c r="D13">
        <v>52</v>
      </c>
      <c r="E13" t="s">
        <v>8</v>
      </c>
      <c r="F13" s="2">
        <v>22.242999999999999</v>
      </c>
      <c r="G13">
        <v>20.507999999999999</v>
      </c>
      <c r="H13" s="7">
        <v>20.507999999999999</v>
      </c>
      <c r="I13">
        <v>20.774999999999999</v>
      </c>
      <c r="J13">
        <f t="shared" si="0"/>
        <v>1.7349999999999994</v>
      </c>
      <c r="K13">
        <f t="shared" si="1"/>
        <v>1.468</v>
      </c>
      <c r="M13" s="2">
        <v>21.021999999999998</v>
      </c>
      <c r="N13">
        <v>20.061</v>
      </c>
      <c r="O13">
        <v>20.061</v>
      </c>
      <c r="P13">
        <v>20.363</v>
      </c>
      <c r="Q13">
        <f t="shared" si="2"/>
        <v>0.96099999999999852</v>
      </c>
      <c r="R13">
        <f t="shared" si="3"/>
        <v>0.65899999999999892</v>
      </c>
      <c r="S13" s="2">
        <v>19.484999999999999</v>
      </c>
      <c r="T13">
        <v>17.847000000000001</v>
      </c>
      <c r="U13">
        <v>17.847000000000001</v>
      </c>
      <c r="V13">
        <v>17.933</v>
      </c>
      <c r="W13">
        <f t="shared" si="4"/>
        <v>1.6379999999999981</v>
      </c>
      <c r="X13">
        <f t="shared" si="5"/>
        <v>1.5519999999999996</v>
      </c>
      <c r="Y13" s="2">
        <v>21.617999999999999</v>
      </c>
      <c r="Z13">
        <v>20.367000000000001</v>
      </c>
      <c r="AA13">
        <v>20.215</v>
      </c>
      <c r="AB13">
        <v>20.193999999999999</v>
      </c>
      <c r="AC13">
        <f t="shared" si="6"/>
        <v>1.2509999999999977</v>
      </c>
      <c r="AD13">
        <f t="shared" si="7"/>
        <v>1.4239999999999995</v>
      </c>
      <c r="AE13" s="2">
        <v>24.945</v>
      </c>
      <c r="AF13">
        <v>23.239000000000001</v>
      </c>
      <c r="AG13">
        <v>23.239000000000001</v>
      </c>
      <c r="AH13">
        <v>22.986999999999998</v>
      </c>
      <c r="AI13">
        <f t="shared" si="8"/>
        <v>1.7059999999999995</v>
      </c>
      <c r="AJ13">
        <f t="shared" si="9"/>
        <v>1.958000000000002</v>
      </c>
      <c r="AK13" s="2">
        <v>29.891999999999999</v>
      </c>
      <c r="AL13">
        <v>27.512</v>
      </c>
      <c r="AM13">
        <v>26.006</v>
      </c>
      <c r="AN13">
        <v>26.132999999999999</v>
      </c>
      <c r="AO13">
        <f t="shared" si="10"/>
        <v>2.379999999999999</v>
      </c>
      <c r="AP13">
        <f t="shared" si="11"/>
        <v>3.7590000000000003</v>
      </c>
      <c r="AQ13" s="2">
        <v>36.305</v>
      </c>
      <c r="AR13">
        <v>31.983000000000001</v>
      </c>
      <c r="AS13">
        <v>31.812000000000001</v>
      </c>
      <c r="AT13">
        <v>32.107999999999997</v>
      </c>
      <c r="AU13">
        <f t="shared" si="12"/>
        <v>4.3219999999999992</v>
      </c>
      <c r="AV13">
        <f t="shared" si="13"/>
        <v>4.1970000000000027</v>
      </c>
      <c r="AW13" s="2"/>
    </row>
    <row r="14" spans="1:54" x14ac:dyDescent="0.2">
      <c r="A14" t="s">
        <v>24</v>
      </c>
      <c r="B14" t="s">
        <v>25</v>
      </c>
      <c r="C14">
        <v>202503802</v>
      </c>
      <c r="D14">
        <v>47</v>
      </c>
      <c r="E14" t="s">
        <v>19</v>
      </c>
      <c r="F14" s="2">
        <v>12.903</v>
      </c>
      <c r="G14">
        <v>12.923999999999999</v>
      </c>
      <c r="H14" s="7">
        <v>12.923999999999999</v>
      </c>
      <c r="I14">
        <v>13.039</v>
      </c>
      <c r="J14">
        <f t="shared" si="0"/>
        <v>2.0999999999999019E-2</v>
      </c>
      <c r="K14">
        <f t="shared" si="1"/>
        <v>0.13599999999999923</v>
      </c>
      <c r="M14" s="2">
        <v>13.709</v>
      </c>
      <c r="N14">
        <v>13.907</v>
      </c>
      <c r="O14">
        <v>13.907</v>
      </c>
      <c r="P14">
        <v>14.039</v>
      </c>
      <c r="Q14">
        <f t="shared" si="2"/>
        <v>-0.1980000000000004</v>
      </c>
      <c r="R14">
        <f t="shared" si="3"/>
        <v>-0.33000000000000007</v>
      </c>
      <c r="S14" s="2">
        <v>14.348000000000001</v>
      </c>
      <c r="T14">
        <v>14.365</v>
      </c>
      <c r="U14">
        <v>14.365</v>
      </c>
      <c r="V14">
        <v>14.414999999999999</v>
      </c>
      <c r="W14">
        <f t="shared" si="4"/>
        <v>-1.699999999999946E-2</v>
      </c>
      <c r="X14">
        <f t="shared" si="5"/>
        <v>-6.6999999999998394E-2</v>
      </c>
      <c r="Y14" s="2">
        <v>15.093999999999999</v>
      </c>
      <c r="Z14">
        <v>15.221</v>
      </c>
      <c r="AA14">
        <v>15.363</v>
      </c>
      <c r="AB14">
        <v>15.355</v>
      </c>
      <c r="AC14">
        <f t="shared" si="6"/>
        <v>-0.12700000000000067</v>
      </c>
      <c r="AD14">
        <f t="shared" si="7"/>
        <v>-0.26100000000000101</v>
      </c>
      <c r="AE14" s="2">
        <v>16.466999999999999</v>
      </c>
      <c r="AF14">
        <v>16.469000000000001</v>
      </c>
      <c r="AG14">
        <v>16.646999999999998</v>
      </c>
      <c r="AH14">
        <v>16.597999999999999</v>
      </c>
      <c r="AI14">
        <f t="shared" si="8"/>
        <v>-2.0000000000024443E-3</v>
      </c>
      <c r="AJ14">
        <f t="shared" si="9"/>
        <v>-0.13100000000000023</v>
      </c>
      <c r="AK14" s="2">
        <v>17.481000000000002</v>
      </c>
      <c r="AL14">
        <v>17.065000000000001</v>
      </c>
      <c r="AM14">
        <v>17.873999999999999</v>
      </c>
      <c r="AN14">
        <v>17.933</v>
      </c>
      <c r="AO14">
        <f t="shared" si="10"/>
        <v>0.41600000000000037</v>
      </c>
      <c r="AP14">
        <f t="shared" si="11"/>
        <v>-0.45199999999999818</v>
      </c>
      <c r="AQ14" s="2">
        <v>18.190999999999999</v>
      </c>
      <c r="AR14">
        <v>18.809999999999999</v>
      </c>
      <c r="AS14">
        <v>20.161000000000001</v>
      </c>
      <c r="AT14">
        <v>20.422000000000001</v>
      </c>
      <c r="AU14">
        <f t="shared" si="12"/>
        <v>-0.61899999999999977</v>
      </c>
      <c r="AV14">
        <f t="shared" si="13"/>
        <v>-2.2310000000000016</v>
      </c>
      <c r="AW14" s="2">
        <v>21.152000000000001</v>
      </c>
      <c r="AX14">
        <v>21.335999999999999</v>
      </c>
      <c r="AY14">
        <v>21.335999999999999</v>
      </c>
      <c r="AZ14">
        <v>21.323</v>
      </c>
      <c r="BA14">
        <f t="shared" si="14"/>
        <v>-0.1839999999999975</v>
      </c>
      <c r="BB14">
        <f t="shared" si="15"/>
        <v>-0.17099999999999937</v>
      </c>
    </row>
    <row r="15" spans="1:54" x14ac:dyDescent="0.2">
      <c r="A15" t="s">
        <v>26</v>
      </c>
      <c r="B15" t="s">
        <v>27</v>
      </c>
      <c r="C15" t="s">
        <v>28</v>
      </c>
      <c r="D15">
        <v>73</v>
      </c>
      <c r="E15" t="s">
        <v>19</v>
      </c>
      <c r="F15" s="2">
        <v>7.367</v>
      </c>
      <c r="G15">
        <v>7.7089999999999996</v>
      </c>
      <c r="H15" s="7">
        <v>7.7089999999999996</v>
      </c>
      <c r="I15">
        <v>7.7220000000000004</v>
      </c>
      <c r="J15">
        <f t="shared" si="0"/>
        <v>0.34199999999999964</v>
      </c>
      <c r="K15">
        <f t="shared" si="1"/>
        <v>0.35500000000000043</v>
      </c>
      <c r="M15" s="2">
        <v>8.1829999999999998</v>
      </c>
      <c r="N15">
        <v>8.5350000000000001</v>
      </c>
      <c r="O15">
        <v>8.5350000000000001</v>
      </c>
      <c r="P15">
        <v>8.5389999999999997</v>
      </c>
      <c r="Q15">
        <f t="shared" si="2"/>
        <v>-0.35200000000000031</v>
      </c>
      <c r="R15">
        <f t="shared" si="3"/>
        <v>-0.35599999999999987</v>
      </c>
      <c r="S15" s="2">
        <v>9.4730000000000008</v>
      </c>
      <c r="T15">
        <v>9.7789999999999999</v>
      </c>
      <c r="U15">
        <v>9.7789999999999999</v>
      </c>
      <c r="V15">
        <v>9.7720000000000002</v>
      </c>
      <c r="W15">
        <f t="shared" si="4"/>
        <v>-0.30599999999999916</v>
      </c>
      <c r="X15">
        <f t="shared" si="5"/>
        <v>-0.29899999999999949</v>
      </c>
      <c r="Y15" s="2">
        <v>10.007999999999999</v>
      </c>
      <c r="Z15">
        <v>10.377000000000001</v>
      </c>
      <c r="AA15">
        <v>10.377000000000001</v>
      </c>
      <c r="AB15">
        <v>10.368</v>
      </c>
      <c r="AC15">
        <f t="shared" si="6"/>
        <v>-0.36900000000000155</v>
      </c>
      <c r="AD15">
        <f t="shared" si="7"/>
        <v>-0.36000000000000121</v>
      </c>
      <c r="AE15" s="2">
        <v>10.612</v>
      </c>
      <c r="AF15">
        <v>11.048999999999999</v>
      </c>
      <c r="AG15">
        <v>11.048999999999999</v>
      </c>
      <c r="AH15">
        <v>11.034000000000001</v>
      </c>
      <c r="AI15">
        <f t="shared" si="8"/>
        <v>-0.43699999999999939</v>
      </c>
      <c r="AJ15">
        <f t="shared" si="9"/>
        <v>-0.4220000000000006</v>
      </c>
      <c r="AK15" s="2">
        <v>11.76</v>
      </c>
      <c r="AL15">
        <v>11.683999999999999</v>
      </c>
      <c r="AM15">
        <v>12.032</v>
      </c>
      <c r="AN15">
        <v>12.045999999999999</v>
      </c>
      <c r="AO15">
        <f t="shared" si="10"/>
        <v>7.6000000000000512E-2</v>
      </c>
      <c r="AP15">
        <f t="shared" si="11"/>
        <v>-0.28599999999999959</v>
      </c>
      <c r="AQ15" s="2">
        <v>13.115</v>
      </c>
      <c r="AR15">
        <v>12.722</v>
      </c>
      <c r="AS15">
        <v>13.444000000000001</v>
      </c>
      <c r="AT15">
        <v>13.538</v>
      </c>
      <c r="AU15">
        <f t="shared" si="12"/>
        <v>0.39300000000000068</v>
      </c>
      <c r="AV15">
        <f t="shared" si="13"/>
        <v>-0.42300000000000004</v>
      </c>
      <c r="AW15" s="2"/>
    </row>
    <row r="16" spans="1:54" x14ac:dyDescent="0.2">
      <c r="A16" t="s">
        <v>29</v>
      </c>
      <c r="B16" t="s">
        <v>30</v>
      </c>
      <c r="C16" t="s">
        <v>31</v>
      </c>
      <c r="D16">
        <v>73</v>
      </c>
      <c r="E16" t="s">
        <v>8</v>
      </c>
      <c r="F16" s="2">
        <v>22.835999999999999</v>
      </c>
      <c r="G16">
        <v>21.696999999999999</v>
      </c>
      <c r="H16" s="7">
        <v>21.696999999999999</v>
      </c>
      <c r="I16">
        <v>21.971</v>
      </c>
      <c r="J16">
        <f t="shared" si="0"/>
        <v>1.1389999999999993</v>
      </c>
      <c r="K16">
        <f t="shared" si="1"/>
        <v>0.86499999999999844</v>
      </c>
      <c r="M16" s="2">
        <v>23.634</v>
      </c>
      <c r="N16">
        <v>23.218</v>
      </c>
      <c r="O16">
        <v>23.218</v>
      </c>
      <c r="P16">
        <v>23.373999999999999</v>
      </c>
      <c r="Q16">
        <f t="shared" si="2"/>
        <v>0.41600000000000037</v>
      </c>
      <c r="R16">
        <f t="shared" si="3"/>
        <v>0.26000000000000156</v>
      </c>
      <c r="S16" s="2">
        <v>25.175999999999998</v>
      </c>
      <c r="T16">
        <v>24.978000000000002</v>
      </c>
      <c r="U16">
        <v>24.978000000000002</v>
      </c>
      <c r="V16">
        <v>25.024999999999999</v>
      </c>
      <c r="W16">
        <f t="shared" si="4"/>
        <v>0.19799999999999685</v>
      </c>
      <c r="X16">
        <f t="shared" si="5"/>
        <v>0.1509999999999998</v>
      </c>
      <c r="Y16" s="2">
        <v>27.452000000000002</v>
      </c>
      <c r="Z16">
        <v>27.138000000000002</v>
      </c>
      <c r="AA16">
        <v>27.498999999999999</v>
      </c>
      <c r="AB16">
        <v>27.492000000000001</v>
      </c>
      <c r="AC16">
        <f t="shared" si="6"/>
        <v>0.31400000000000006</v>
      </c>
      <c r="AD16">
        <f t="shared" si="7"/>
        <v>-3.9999999999999147E-2</v>
      </c>
      <c r="AE16" s="2"/>
      <c r="AK16" s="2">
        <v>29.459</v>
      </c>
      <c r="AL16">
        <v>29.609000000000002</v>
      </c>
      <c r="AM16">
        <v>29.609000000000002</v>
      </c>
      <c r="AN16">
        <v>29.731999999999999</v>
      </c>
      <c r="AO16">
        <f t="shared" si="10"/>
        <v>-0.15000000000000213</v>
      </c>
      <c r="AP16">
        <f t="shared" si="11"/>
        <v>-0.27299999999999969</v>
      </c>
      <c r="AQ16" s="2"/>
      <c r="AW16" s="2"/>
    </row>
    <row r="17" spans="1:54" x14ac:dyDescent="0.2">
      <c r="A17" t="s">
        <v>32</v>
      </c>
      <c r="B17" t="s">
        <v>33</v>
      </c>
      <c r="C17" t="s">
        <v>34</v>
      </c>
      <c r="D17">
        <v>65</v>
      </c>
      <c r="E17" t="s">
        <v>8</v>
      </c>
      <c r="F17" s="2">
        <v>17.603000000000002</v>
      </c>
      <c r="G17">
        <v>17.61</v>
      </c>
      <c r="H17" s="7">
        <v>17.61</v>
      </c>
      <c r="I17">
        <v>17.559000000000001</v>
      </c>
      <c r="J17">
        <f t="shared" si="0"/>
        <v>6.9999999999978968E-3</v>
      </c>
      <c r="K17">
        <f t="shared" si="1"/>
        <v>4.4000000000000483E-2</v>
      </c>
      <c r="M17" s="2">
        <v>19.579000000000001</v>
      </c>
      <c r="N17">
        <v>19.617999999999999</v>
      </c>
      <c r="O17">
        <v>19.617999999999999</v>
      </c>
      <c r="P17">
        <v>19.513000000000002</v>
      </c>
      <c r="Q17">
        <f t="shared" si="2"/>
        <v>-3.8999999999997925E-2</v>
      </c>
      <c r="R17">
        <f t="shared" si="3"/>
        <v>6.5999999999998948E-2</v>
      </c>
      <c r="S17" s="2">
        <v>21.835999999999999</v>
      </c>
      <c r="T17">
        <v>21.734000000000002</v>
      </c>
      <c r="U17">
        <v>21.734000000000002</v>
      </c>
      <c r="V17">
        <v>21.699000000000002</v>
      </c>
      <c r="W17">
        <f t="shared" si="4"/>
        <v>0.10199999999999676</v>
      </c>
      <c r="X17">
        <f t="shared" si="5"/>
        <v>0.1369999999999969</v>
      </c>
      <c r="Y17" s="2">
        <v>22.61</v>
      </c>
      <c r="Z17">
        <v>21.663</v>
      </c>
      <c r="AA17">
        <v>22.577999999999999</v>
      </c>
      <c r="AB17">
        <v>22.577999999999999</v>
      </c>
      <c r="AC17">
        <f t="shared" si="6"/>
        <v>0.94699999999999918</v>
      </c>
      <c r="AD17">
        <f t="shared" si="7"/>
        <v>3.2000000000000028E-2</v>
      </c>
      <c r="AE17" s="2">
        <v>22.591000000000001</v>
      </c>
      <c r="AF17">
        <v>23.498000000000001</v>
      </c>
      <c r="AG17">
        <v>23.172999999999998</v>
      </c>
      <c r="AH17">
        <v>23.268000000000001</v>
      </c>
      <c r="AI17">
        <f t="shared" si="8"/>
        <v>-0.90700000000000003</v>
      </c>
      <c r="AJ17">
        <f t="shared" si="9"/>
        <v>-0.6769999999999996</v>
      </c>
      <c r="AK17" s="2"/>
      <c r="AQ17" s="2">
        <v>20.774000000000001</v>
      </c>
      <c r="AR17">
        <v>21.736999999999998</v>
      </c>
      <c r="AS17">
        <v>21.448</v>
      </c>
      <c r="AT17">
        <v>21.167999999999999</v>
      </c>
      <c r="AU17">
        <f t="shared" si="12"/>
        <v>-0.96299999999999741</v>
      </c>
      <c r="AV17">
        <f t="shared" si="13"/>
        <v>-0.39399999999999835</v>
      </c>
      <c r="AW17" s="2"/>
    </row>
    <row r="18" spans="1:54" x14ac:dyDescent="0.2">
      <c r="A18" t="s">
        <v>35</v>
      </c>
      <c r="B18" t="s">
        <v>36</v>
      </c>
      <c r="C18" t="s">
        <v>37</v>
      </c>
      <c r="D18">
        <v>81</v>
      </c>
      <c r="E18" t="s">
        <v>8</v>
      </c>
      <c r="F18" s="2">
        <v>14.493</v>
      </c>
      <c r="G18">
        <v>15.545</v>
      </c>
      <c r="H18" s="7">
        <v>15.545</v>
      </c>
      <c r="I18">
        <v>15.348000000000001</v>
      </c>
      <c r="J18">
        <f t="shared" si="0"/>
        <v>1.0519999999999996</v>
      </c>
      <c r="K18">
        <f t="shared" si="1"/>
        <v>0.85500000000000043</v>
      </c>
      <c r="M18" s="2">
        <v>16.414000000000001</v>
      </c>
      <c r="N18">
        <v>17.163</v>
      </c>
      <c r="O18">
        <v>17.163</v>
      </c>
      <c r="P18">
        <v>16.992000000000001</v>
      </c>
      <c r="Q18">
        <f t="shared" si="2"/>
        <v>-0.74899999999999878</v>
      </c>
      <c r="R18">
        <f t="shared" si="3"/>
        <v>-0.5779999999999994</v>
      </c>
      <c r="S18" s="2">
        <v>18.559000000000001</v>
      </c>
      <c r="T18">
        <v>19.457999999999998</v>
      </c>
      <c r="U18">
        <v>19.457999999999998</v>
      </c>
      <c r="V18">
        <v>19.385000000000002</v>
      </c>
      <c r="W18">
        <f t="shared" si="4"/>
        <v>-0.89899999999999736</v>
      </c>
      <c r="X18">
        <f t="shared" si="5"/>
        <v>-0.82600000000000051</v>
      </c>
      <c r="Y18" s="2">
        <v>17.702999999999999</v>
      </c>
      <c r="Z18">
        <v>19.706</v>
      </c>
      <c r="AA18">
        <v>19.706</v>
      </c>
      <c r="AB18">
        <v>19.681000000000001</v>
      </c>
      <c r="AC18">
        <f t="shared" si="6"/>
        <v>-2.0030000000000001</v>
      </c>
      <c r="AD18">
        <f t="shared" si="7"/>
        <v>-1.9780000000000015</v>
      </c>
      <c r="AE18" s="2">
        <v>18.242999999999999</v>
      </c>
      <c r="AF18">
        <v>20.173999999999999</v>
      </c>
      <c r="AG18">
        <v>20.173999999999999</v>
      </c>
      <c r="AH18">
        <v>20.282</v>
      </c>
      <c r="AI18">
        <f t="shared" si="8"/>
        <v>-1.9310000000000009</v>
      </c>
      <c r="AJ18">
        <f t="shared" si="9"/>
        <v>-2.0390000000000015</v>
      </c>
      <c r="AK18" s="2"/>
      <c r="AQ18" s="2">
        <v>16.286000000000001</v>
      </c>
      <c r="AR18">
        <v>16.488</v>
      </c>
      <c r="AS18">
        <v>16.393999999999998</v>
      </c>
      <c r="AT18">
        <v>16.155000000000001</v>
      </c>
      <c r="AU18">
        <f t="shared" si="12"/>
        <v>-0.20199999999999818</v>
      </c>
      <c r="AV18">
        <f t="shared" si="13"/>
        <v>0.13100000000000023</v>
      </c>
      <c r="AW18" s="2"/>
    </row>
    <row r="19" spans="1:54" x14ac:dyDescent="0.2">
      <c r="A19" t="s">
        <v>38</v>
      </c>
      <c r="B19" t="s">
        <v>39</v>
      </c>
      <c r="C19" t="s">
        <v>40</v>
      </c>
      <c r="D19">
        <v>64</v>
      </c>
      <c r="E19" t="s">
        <v>19</v>
      </c>
      <c r="F19" s="2">
        <v>10.724</v>
      </c>
      <c r="G19">
        <v>10.137</v>
      </c>
      <c r="H19" s="7">
        <v>10.137</v>
      </c>
      <c r="I19">
        <v>10.268000000000001</v>
      </c>
      <c r="J19">
        <f t="shared" si="0"/>
        <v>0.58699999999999974</v>
      </c>
      <c r="K19">
        <f t="shared" si="1"/>
        <v>0.45599999999999952</v>
      </c>
      <c r="M19" s="2">
        <v>14.676</v>
      </c>
      <c r="N19">
        <v>13.48</v>
      </c>
      <c r="O19">
        <v>13.48</v>
      </c>
      <c r="P19">
        <v>13.74</v>
      </c>
      <c r="Q19">
        <f t="shared" si="2"/>
        <v>1.1959999999999997</v>
      </c>
      <c r="R19">
        <f t="shared" si="3"/>
        <v>0.93599999999999994</v>
      </c>
      <c r="S19" s="2">
        <v>17.927</v>
      </c>
      <c r="T19">
        <v>16.202000000000002</v>
      </c>
      <c r="U19">
        <v>16.202000000000002</v>
      </c>
      <c r="V19">
        <v>16.350999999999999</v>
      </c>
      <c r="W19">
        <f t="shared" si="4"/>
        <v>1.7249999999999979</v>
      </c>
      <c r="X19">
        <f t="shared" si="5"/>
        <v>1.5760000000000005</v>
      </c>
      <c r="Y19" s="2">
        <v>21.074999999999999</v>
      </c>
      <c r="Z19">
        <v>21.010999999999999</v>
      </c>
      <c r="AA19">
        <v>21.010999999999999</v>
      </c>
      <c r="AB19">
        <v>20.986000000000001</v>
      </c>
      <c r="AC19">
        <f t="shared" si="6"/>
        <v>6.4000000000000057E-2</v>
      </c>
      <c r="AD19">
        <f t="shared" si="7"/>
        <v>8.8999999999998636E-2</v>
      </c>
      <c r="AE19" s="2">
        <v>25.981999999999999</v>
      </c>
      <c r="AF19">
        <v>25.748999999999999</v>
      </c>
      <c r="AG19">
        <v>25.748999999999999</v>
      </c>
      <c r="AH19">
        <v>25.552</v>
      </c>
      <c r="AI19">
        <f t="shared" si="8"/>
        <v>0.23300000000000054</v>
      </c>
      <c r="AJ19">
        <f t="shared" si="9"/>
        <v>0.42999999999999972</v>
      </c>
      <c r="AK19" s="2">
        <v>33.448</v>
      </c>
      <c r="AL19">
        <v>32.908000000000001</v>
      </c>
      <c r="AM19">
        <v>32.908000000000001</v>
      </c>
      <c r="AN19">
        <v>33.124000000000002</v>
      </c>
      <c r="AO19">
        <f t="shared" si="10"/>
        <v>0.53999999999999915</v>
      </c>
      <c r="AP19">
        <f t="shared" si="11"/>
        <v>0.32399999999999807</v>
      </c>
      <c r="AQ19" s="2">
        <v>42.109000000000002</v>
      </c>
      <c r="AR19">
        <v>38.707999999999998</v>
      </c>
      <c r="AS19">
        <v>40.468000000000004</v>
      </c>
      <c r="AT19">
        <v>41.000999999999998</v>
      </c>
      <c r="AU19">
        <f t="shared" si="12"/>
        <v>3.4010000000000034</v>
      </c>
      <c r="AV19">
        <f t="shared" si="13"/>
        <v>1.1080000000000041</v>
      </c>
      <c r="AW19" s="2"/>
    </row>
    <row r="20" spans="1:54" x14ac:dyDescent="0.2">
      <c r="A20" t="s">
        <v>41</v>
      </c>
      <c r="B20" t="s">
        <v>42</v>
      </c>
      <c r="C20" t="s">
        <v>43</v>
      </c>
      <c r="D20">
        <v>35</v>
      </c>
      <c r="E20" t="s">
        <v>8</v>
      </c>
      <c r="F20" s="2">
        <v>7.5730000000000004</v>
      </c>
      <c r="G20">
        <v>7.2779999999999996</v>
      </c>
      <c r="H20" s="7">
        <v>7.2779999999999996</v>
      </c>
      <c r="I20">
        <v>7.3659999999999997</v>
      </c>
      <c r="J20">
        <f t="shared" si="0"/>
        <v>0.29500000000000082</v>
      </c>
      <c r="K20">
        <f t="shared" si="1"/>
        <v>0.20700000000000074</v>
      </c>
      <c r="M20" s="2">
        <v>7.4580000000000002</v>
      </c>
      <c r="N20">
        <v>7.2210000000000001</v>
      </c>
      <c r="O20">
        <v>7.2210000000000001</v>
      </c>
      <c r="P20">
        <v>7.3220000000000001</v>
      </c>
      <c r="Q20">
        <f t="shared" si="2"/>
        <v>0.2370000000000001</v>
      </c>
      <c r="R20">
        <f t="shared" si="3"/>
        <v>0.13600000000000012</v>
      </c>
      <c r="S20" s="2">
        <v>6.7629999999999999</v>
      </c>
      <c r="T20">
        <v>6.6310000000000002</v>
      </c>
      <c r="U20">
        <v>6.6310000000000002</v>
      </c>
      <c r="V20">
        <v>6.6719999999999997</v>
      </c>
      <c r="W20">
        <f t="shared" si="4"/>
        <v>0.13199999999999967</v>
      </c>
      <c r="X20">
        <f t="shared" si="5"/>
        <v>9.1000000000000192E-2</v>
      </c>
      <c r="Y20" s="2">
        <v>7.0330000000000004</v>
      </c>
      <c r="Z20">
        <v>7.2839999999999998</v>
      </c>
      <c r="AA20">
        <v>7.2839999999999998</v>
      </c>
      <c r="AB20">
        <v>7.2939999999999996</v>
      </c>
      <c r="AC20">
        <f t="shared" si="6"/>
        <v>-0.25099999999999945</v>
      </c>
      <c r="AD20">
        <f t="shared" si="7"/>
        <v>-0.26099999999999923</v>
      </c>
      <c r="AE20" s="2">
        <v>7.2839999999999998</v>
      </c>
      <c r="AF20">
        <v>7.33</v>
      </c>
      <c r="AG20">
        <v>7.33</v>
      </c>
      <c r="AH20">
        <v>7.2750000000000004</v>
      </c>
      <c r="AI20">
        <f t="shared" si="8"/>
        <v>-4.6000000000000263E-2</v>
      </c>
      <c r="AJ20">
        <f t="shared" si="9"/>
        <v>8.9999999999994529E-3</v>
      </c>
      <c r="AK20" s="2">
        <v>8.6880000000000006</v>
      </c>
      <c r="AL20">
        <v>7.0839999999999996</v>
      </c>
      <c r="AM20">
        <v>9.3409999999999993</v>
      </c>
      <c r="AN20">
        <v>9.4350000000000005</v>
      </c>
      <c r="AO20">
        <f t="shared" si="10"/>
        <v>1.604000000000001</v>
      </c>
      <c r="AP20">
        <f t="shared" si="11"/>
        <v>-0.74699999999999989</v>
      </c>
      <c r="AQ20" s="2">
        <v>9.69</v>
      </c>
      <c r="AR20">
        <v>9.7170000000000005</v>
      </c>
      <c r="AS20">
        <v>10.282999999999999</v>
      </c>
      <c r="AT20">
        <v>10.292999999999999</v>
      </c>
      <c r="AU20">
        <f t="shared" si="12"/>
        <v>-2.7000000000001023E-2</v>
      </c>
      <c r="AV20">
        <f t="shared" si="13"/>
        <v>-0.60299999999999976</v>
      </c>
      <c r="AW20" s="2"/>
    </row>
    <row r="21" spans="1:54" x14ac:dyDescent="0.2">
      <c r="A21" t="s">
        <v>44</v>
      </c>
      <c r="B21" t="s">
        <v>45</v>
      </c>
      <c r="C21" t="s">
        <v>46</v>
      </c>
      <c r="D21">
        <v>91</v>
      </c>
      <c r="E21" t="s">
        <v>8</v>
      </c>
      <c r="F21" s="2">
        <v>5.54</v>
      </c>
      <c r="G21">
        <v>5.9459999999999997</v>
      </c>
      <c r="H21" s="7">
        <v>5.9459999999999997</v>
      </c>
      <c r="I21">
        <v>5.9290000000000003</v>
      </c>
      <c r="J21">
        <f t="shared" si="0"/>
        <v>0.40599999999999969</v>
      </c>
      <c r="K21">
        <f t="shared" si="1"/>
        <v>0.38900000000000023</v>
      </c>
      <c r="M21" s="2">
        <v>5.774</v>
      </c>
      <c r="N21">
        <v>5.7990000000000004</v>
      </c>
      <c r="O21">
        <v>5.7990000000000004</v>
      </c>
      <c r="P21">
        <v>5.81</v>
      </c>
      <c r="Q21">
        <f t="shared" si="2"/>
        <v>-2.5000000000000355E-2</v>
      </c>
      <c r="R21">
        <f t="shared" si="3"/>
        <v>-3.5999999999999588E-2</v>
      </c>
      <c r="S21" s="2">
        <v>4.8380000000000001</v>
      </c>
      <c r="T21">
        <v>5.093</v>
      </c>
      <c r="U21">
        <v>5.093</v>
      </c>
      <c r="V21">
        <v>5.0709999999999997</v>
      </c>
      <c r="W21">
        <f t="shared" si="4"/>
        <v>-0.25499999999999989</v>
      </c>
      <c r="X21">
        <f t="shared" si="5"/>
        <v>-0.23299999999999965</v>
      </c>
      <c r="Y21" s="2">
        <v>5.0640000000000001</v>
      </c>
      <c r="Z21">
        <v>4.91</v>
      </c>
      <c r="AA21">
        <v>4.843</v>
      </c>
      <c r="AB21">
        <v>4.843</v>
      </c>
      <c r="AC21">
        <f t="shared" si="6"/>
        <v>0.15399999999999991</v>
      </c>
      <c r="AD21">
        <f t="shared" si="7"/>
        <v>0.22100000000000009</v>
      </c>
      <c r="AE21" s="2">
        <v>4.9169999999999998</v>
      </c>
      <c r="AF21">
        <v>4.7300000000000004</v>
      </c>
      <c r="AG21">
        <v>4.7300000000000004</v>
      </c>
      <c r="AH21">
        <v>4.7359999999999998</v>
      </c>
      <c r="AI21">
        <f t="shared" si="8"/>
        <v>0.18699999999999939</v>
      </c>
      <c r="AJ21">
        <f t="shared" si="9"/>
        <v>0.18100000000000005</v>
      </c>
      <c r="AK21" s="2">
        <v>4.6900000000000004</v>
      </c>
      <c r="AL21">
        <v>4.9409999999999998</v>
      </c>
      <c r="AM21">
        <v>4.5209999999999999</v>
      </c>
      <c r="AN21">
        <v>4.548</v>
      </c>
      <c r="AO21">
        <f t="shared" si="10"/>
        <v>-0.25099999999999945</v>
      </c>
      <c r="AP21">
        <f t="shared" si="11"/>
        <v>0.14200000000000035</v>
      </c>
      <c r="AQ21" s="2">
        <v>4.9950000000000001</v>
      </c>
      <c r="AR21">
        <v>5.2</v>
      </c>
      <c r="AS21">
        <v>5.1260000000000003</v>
      </c>
      <c r="AT21">
        <v>5.1109999999999998</v>
      </c>
      <c r="AU21">
        <f t="shared" si="12"/>
        <v>-0.20500000000000007</v>
      </c>
      <c r="AV21">
        <f t="shared" si="13"/>
        <v>-0.11599999999999966</v>
      </c>
      <c r="AW21" s="2"/>
    </row>
    <row r="22" spans="1:54" x14ac:dyDescent="0.2">
      <c r="H22" s="7"/>
    </row>
    <row r="23" spans="1:54" x14ac:dyDescent="0.2">
      <c r="H23" s="7"/>
    </row>
    <row r="24" spans="1:54" x14ac:dyDescent="0.2">
      <c r="A24" s="3" t="s">
        <v>79</v>
      </c>
      <c r="F24" s="4">
        <v>21</v>
      </c>
      <c r="H24" s="7"/>
      <c r="M24" s="4">
        <v>22</v>
      </c>
      <c r="S24" s="4">
        <v>23</v>
      </c>
      <c r="Y24" s="4">
        <v>24</v>
      </c>
      <c r="AE24" s="4">
        <v>25</v>
      </c>
      <c r="AK24" s="4">
        <v>26</v>
      </c>
      <c r="AQ24" s="4">
        <v>27</v>
      </c>
      <c r="AW24" s="4">
        <v>28</v>
      </c>
    </row>
    <row r="25" spans="1:54" x14ac:dyDescent="0.2">
      <c r="A25" t="s">
        <v>1</v>
      </c>
      <c r="B25" t="s">
        <v>2</v>
      </c>
      <c r="C25" t="s">
        <v>3</v>
      </c>
      <c r="D25" t="s">
        <v>4</v>
      </c>
      <c r="E25" t="s">
        <v>5</v>
      </c>
      <c r="F25" s="1" t="s">
        <v>55</v>
      </c>
      <c r="G25" t="s">
        <v>85</v>
      </c>
      <c r="H25" s="7" t="s">
        <v>47</v>
      </c>
      <c r="I25" t="s">
        <v>89</v>
      </c>
      <c r="J25" t="s">
        <v>86</v>
      </c>
      <c r="K25" t="s">
        <v>87</v>
      </c>
      <c r="M25" s="1" t="s">
        <v>56</v>
      </c>
      <c r="N25" t="s">
        <v>85</v>
      </c>
      <c r="O25" t="s">
        <v>47</v>
      </c>
      <c r="P25" t="s">
        <v>89</v>
      </c>
      <c r="Q25" t="s">
        <v>86</v>
      </c>
      <c r="R25" t="s">
        <v>87</v>
      </c>
      <c r="S25" s="1" t="s">
        <v>57</v>
      </c>
      <c r="T25" t="s">
        <v>85</v>
      </c>
      <c r="U25" t="s">
        <v>47</v>
      </c>
      <c r="V25" t="s">
        <v>89</v>
      </c>
      <c r="W25" s="6" t="s">
        <v>86</v>
      </c>
      <c r="X25" s="6" t="s">
        <v>87</v>
      </c>
      <c r="Y25" s="1" t="s">
        <v>58</v>
      </c>
      <c r="Z25" t="s">
        <v>85</v>
      </c>
      <c r="AA25" t="s">
        <v>47</v>
      </c>
      <c r="AB25" t="s">
        <v>89</v>
      </c>
      <c r="AC25" s="6" t="s">
        <v>86</v>
      </c>
      <c r="AD25" s="6" t="s">
        <v>87</v>
      </c>
      <c r="AE25" s="1" t="s">
        <v>59</v>
      </c>
      <c r="AF25" t="s">
        <v>85</v>
      </c>
      <c r="AG25" t="s">
        <v>47</v>
      </c>
      <c r="AH25" t="s">
        <v>89</v>
      </c>
      <c r="AI25" s="6" t="s">
        <v>86</v>
      </c>
      <c r="AJ25" s="6" t="s">
        <v>87</v>
      </c>
      <c r="AK25" s="5" t="s">
        <v>82</v>
      </c>
      <c r="AL25" t="s">
        <v>85</v>
      </c>
      <c r="AM25" t="s">
        <v>47</v>
      </c>
      <c r="AN25" t="s">
        <v>89</v>
      </c>
      <c r="AO25" s="6" t="s">
        <v>86</v>
      </c>
      <c r="AP25" s="6" t="s">
        <v>87</v>
      </c>
      <c r="AQ25" s="1" t="s">
        <v>60</v>
      </c>
      <c r="AR25" s="6" t="s">
        <v>85</v>
      </c>
      <c r="AS25" t="s">
        <v>47</v>
      </c>
      <c r="AT25" t="s">
        <v>89</v>
      </c>
      <c r="AU25" s="6" t="s">
        <v>86</v>
      </c>
      <c r="AV25" s="6" t="s">
        <v>87</v>
      </c>
      <c r="AW25" s="1" t="s">
        <v>61</v>
      </c>
      <c r="AX25" s="6" t="s">
        <v>85</v>
      </c>
      <c r="AY25" t="s">
        <v>47</v>
      </c>
      <c r="AZ25" t="s">
        <v>89</v>
      </c>
      <c r="BA25" s="6" t="s">
        <v>86</v>
      </c>
      <c r="BB25" s="6" t="s">
        <v>87</v>
      </c>
    </row>
    <row r="26" spans="1:54" x14ac:dyDescent="0.2">
      <c r="A26" t="s">
        <v>6</v>
      </c>
      <c r="B26" t="s">
        <v>7</v>
      </c>
      <c r="C26">
        <v>202504447</v>
      </c>
      <c r="D26">
        <v>28</v>
      </c>
      <c r="E26" t="s">
        <v>8</v>
      </c>
      <c r="F26" s="2">
        <v>24.638999999999999</v>
      </c>
      <c r="G26">
        <v>24.991</v>
      </c>
      <c r="H26" s="7">
        <v>23.814</v>
      </c>
      <c r="I26">
        <v>24.122</v>
      </c>
      <c r="J26">
        <f t="shared" ref="J22:J41" si="16">F26-G26</f>
        <v>-0.35200000000000031</v>
      </c>
      <c r="K26">
        <f t="shared" ref="K7:K41" si="17">F26-I26</f>
        <v>0.51699999999999946</v>
      </c>
      <c r="M26" s="2">
        <v>28.794</v>
      </c>
      <c r="N26">
        <v>29.709</v>
      </c>
      <c r="O26">
        <v>28.401</v>
      </c>
      <c r="P26">
        <v>29.097999999999999</v>
      </c>
      <c r="Q26">
        <f t="shared" si="2"/>
        <v>-0.91499999999999915</v>
      </c>
      <c r="R26">
        <f t="shared" si="3"/>
        <v>-0.30399999999999849</v>
      </c>
      <c r="S26" s="2">
        <v>33.182000000000002</v>
      </c>
      <c r="T26">
        <v>32.875</v>
      </c>
      <c r="U26">
        <v>32.75</v>
      </c>
      <c r="V26">
        <v>33.185000000000002</v>
      </c>
      <c r="W26">
        <f t="shared" si="4"/>
        <v>0.30700000000000216</v>
      </c>
      <c r="X26">
        <f t="shared" si="5"/>
        <v>-3.0000000000001137E-3</v>
      </c>
      <c r="Y26" s="2">
        <v>38.241999999999997</v>
      </c>
      <c r="Z26">
        <v>38.707000000000001</v>
      </c>
      <c r="AA26">
        <v>38.707000000000001</v>
      </c>
      <c r="AB26">
        <v>38.673000000000002</v>
      </c>
      <c r="AC26">
        <f t="shared" si="6"/>
        <v>-0.46500000000000341</v>
      </c>
      <c r="AD26">
        <f t="shared" si="7"/>
        <v>-0.43100000000000449</v>
      </c>
      <c r="AE26" s="2">
        <v>42.594999999999999</v>
      </c>
      <c r="AF26">
        <v>43.411999999999999</v>
      </c>
      <c r="AG26">
        <v>43.411999999999999</v>
      </c>
      <c r="AH26">
        <v>42.856000000000002</v>
      </c>
      <c r="AI26">
        <f t="shared" si="8"/>
        <v>-0.81700000000000017</v>
      </c>
      <c r="AJ26">
        <f t="shared" si="9"/>
        <v>-0.26100000000000279</v>
      </c>
      <c r="AK26" s="2">
        <v>52.319000000000003</v>
      </c>
      <c r="AL26">
        <v>50.517000000000003</v>
      </c>
      <c r="AM26">
        <v>52.29</v>
      </c>
      <c r="AN26">
        <v>52.646999999999998</v>
      </c>
      <c r="AO26">
        <f t="shared" si="10"/>
        <v>1.8019999999999996</v>
      </c>
      <c r="AP26">
        <f t="shared" si="11"/>
        <v>-0.32799999999999585</v>
      </c>
      <c r="AQ26" s="2">
        <v>53.963999999999999</v>
      </c>
      <c r="AR26">
        <v>61.56</v>
      </c>
      <c r="AS26">
        <v>58.63</v>
      </c>
      <c r="AT26">
        <v>59.012</v>
      </c>
      <c r="AU26">
        <f t="shared" si="12"/>
        <v>-7.5960000000000036</v>
      </c>
      <c r="AV26">
        <f t="shared" si="13"/>
        <v>-5.0480000000000018</v>
      </c>
      <c r="AW26" s="2"/>
    </row>
    <row r="27" spans="1:54" x14ac:dyDescent="0.2">
      <c r="A27" t="s">
        <v>9</v>
      </c>
      <c r="B27" t="s">
        <v>10</v>
      </c>
      <c r="C27">
        <v>202505770</v>
      </c>
      <c r="D27">
        <v>56</v>
      </c>
      <c r="E27" t="s">
        <v>8</v>
      </c>
      <c r="F27" s="2">
        <v>14.311999999999999</v>
      </c>
      <c r="G27">
        <v>13.933999999999999</v>
      </c>
      <c r="H27" s="7">
        <v>13.722</v>
      </c>
      <c r="I27">
        <v>13.802</v>
      </c>
      <c r="J27">
        <f t="shared" si="16"/>
        <v>0.37800000000000011</v>
      </c>
      <c r="K27">
        <f t="shared" si="17"/>
        <v>0.50999999999999979</v>
      </c>
      <c r="M27" s="2">
        <v>14.603999999999999</v>
      </c>
      <c r="N27">
        <v>14.625999999999999</v>
      </c>
      <c r="O27">
        <v>14.244</v>
      </c>
      <c r="P27">
        <v>14.32</v>
      </c>
      <c r="Q27">
        <f t="shared" si="2"/>
        <v>-2.2000000000000242E-2</v>
      </c>
      <c r="R27">
        <f t="shared" si="3"/>
        <v>0.28399999999999892</v>
      </c>
      <c r="S27" s="2">
        <v>17.164000000000001</v>
      </c>
      <c r="T27">
        <v>15.776999999999999</v>
      </c>
      <c r="U27">
        <v>15.776999999999999</v>
      </c>
      <c r="V27">
        <v>15.797000000000001</v>
      </c>
      <c r="W27">
        <f t="shared" si="4"/>
        <v>1.3870000000000022</v>
      </c>
      <c r="X27">
        <f t="shared" si="5"/>
        <v>1.3670000000000009</v>
      </c>
      <c r="Y27" s="2">
        <v>18.766999999999999</v>
      </c>
      <c r="Z27">
        <v>18.285</v>
      </c>
      <c r="AA27">
        <v>18.285</v>
      </c>
      <c r="AB27">
        <v>18.16</v>
      </c>
      <c r="AC27">
        <f t="shared" si="6"/>
        <v>0.48199999999999932</v>
      </c>
      <c r="AD27">
        <f t="shared" si="7"/>
        <v>0.60699999999999932</v>
      </c>
      <c r="AE27" s="2">
        <v>20.056999999999999</v>
      </c>
      <c r="AF27">
        <v>19.827000000000002</v>
      </c>
      <c r="AG27">
        <v>19.827000000000002</v>
      </c>
      <c r="AH27">
        <v>19.834</v>
      </c>
      <c r="AI27">
        <f t="shared" si="8"/>
        <v>0.22999999999999687</v>
      </c>
      <c r="AJ27">
        <f t="shared" si="9"/>
        <v>0.22299999999999898</v>
      </c>
      <c r="AK27" s="2">
        <v>23.018999999999998</v>
      </c>
      <c r="AL27">
        <v>20.619</v>
      </c>
      <c r="AM27">
        <v>21.684000000000001</v>
      </c>
      <c r="AN27">
        <v>21.751999999999999</v>
      </c>
      <c r="AO27">
        <f t="shared" si="10"/>
        <v>2.3999999999999986</v>
      </c>
      <c r="AP27">
        <f t="shared" si="11"/>
        <v>1.2669999999999995</v>
      </c>
      <c r="AQ27" s="2">
        <v>25.838999999999999</v>
      </c>
      <c r="AR27">
        <v>23.548999999999999</v>
      </c>
      <c r="AS27">
        <v>25.489000000000001</v>
      </c>
      <c r="AT27">
        <v>25.686</v>
      </c>
      <c r="AU27">
        <f t="shared" si="12"/>
        <v>2.2899999999999991</v>
      </c>
      <c r="AV27">
        <f t="shared" si="13"/>
        <v>0.15299999999999869</v>
      </c>
      <c r="AW27" s="2"/>
    </row>
    <row r="28" spans="1:54" x14ac:dyDescent="0.2">
      <c r="A28" t="s">
        <v>11</v>
      </c>
      <c r="B28" t="s">
        <v>12</v>
      </c>
      <c r="C28">
        <v>202506191</v>
      </c>
      <c r="D28">
        <v>44</v>
      </c>
      <c r="E28" t="s">
        <v>8</v>
      </c>
      <c r="F28" s="2">
        <v>23.167999999999999</v>
      </c>
      <c r="G28">
        <v>25.106999999999999</v>
      </c>
      <c r="H28" s="7">
        <v>25.106999999999999</v>
      </c>
      <c r="I28">
        <v>25.413</v>
      </c>
      <c r="J28">
        <f t="shared" si="16"/>
        <v>-1.9390000000000001</v>
      </c>
      <c r="K28">
        <f t="shared" si="17"/>
        <v>-2.245000000000001</v>
      </c>
      <c r="M28" s="2">
        <v>25.7</v>
      </c>
      <c r="N28">
        <v>27.225000000000001</v>
      </c>
      <c r="O28">
        <v>27.225000000000001</v>
      </c>
      <c r="P28">
        <v>28.018999999999998</v>
      </c>
      <c r="Q28">
        <f t="shared" si="2"/>
        <v>-1.5250000000000021</v>
      </c>
      <c r="R28">
        <f t="shared" si="3"/>
        <v>-2.3189999999999991</v>
      </c>
      <c r="S28" s="2">
        <v>29.821999999999999</v>
      </c>
      <c r="T28">
        <v>32.555</v>
      </c>
      <c r="U28">
        <v>32.555</v>
      </c>
      <c r="V28">
        <v>32.962000000000003</v>
      </c>
      <c r="W28">
        <f t="shared" si="4"/>
        <v>-2.7330000000000005</v>
      </c>
      <c r="X28">
        <f t="shared" si="5"/>
        <v>-3.1400000000000041</v>
      </c>
      <c r="Y28" s="2">
        <v>30.782</v>
      </c>
      <c r="Z28">
        <v>35.167000000000002</v>
      </c>
      <c r="AA28">
        <v>35.167000000000002</v>
      </c>
      <c r="AB28">
        <v>35.512</v>
      </c>
      <c r="AC28">
        <f t="shared" si="6"/>
        <v>-4.3850000000000016</v>
      </c>
      <c r="AD28">
        <f t="shared" si="7"/>
        <v>-4.7300000000000004</v>
      </c>
      <c r="AE28" s="2">
        <v>34.737000000000002</v>
      </c>
      <c r="AF28">
        <v>37.279000000000003</v>
      </c>
      <c r="AG28">
        <v>37.279000000000003</v>
      </c>
      <c r="AH28">
        <v>36.793999999999997</v>
      </c>
      <c r="AI28">
        <f t="shared" si="8"/>
        <v>-2.5420000000000016</v>
      </c>
      <c r="AJ28">
        <f t="shared" si="9"/>
        <v>-2.0569999999999951</v>
      </c>
      <c r="AK28" s="2">
        <v>43.018000000000001</v>
      </c>
      <c r="AL28">
        <v>46.216999999999999</v>
      </c>
      <c r="AM28">
        <v>46.216999999999999</v>
      </c>
      <c r="AN28">
        <v>45.915999999999997</v>
      </c>
      <c r="AO28">
        <f t="shared" si="10"/>
        <v>-3.1989999999999981</v>
      </c>
      <c r="AP28">
        <f t="shared" si="11"/>
        <v>-2.8979999999999961</v>
      </c>
      <c r="AQ28" s="2">
        <v>44.558999999999997</v>
      </c>
      <c r="AR28">
        <v>46.749000000000002</v>
      </c>
      <c r="AS28">
        <v>47.451999999999998</v>
      </c>
      <c r="AT28">
        <v>47.45</v>
      </c>
      <c r="AU28">
        <f t="shared" si="12"/>
        <v>-2.1900000000000048</v>
      </c>
      <c r="AV28">
        <f t="shared" si="13"/>
        <v>-2.8910000000000053</v>
      </c>
      <c r="AW28" s="2"/>
    </row>
    <row r="29" spans="1:54" x14ac:dyDescent="0.2">
      <c r="A29" t="s">
        <v>13</v>
      </c>
      <c r="B29" t="s">
        <v>14</v>
      </c>
      <c r="C29">
        <v>202504764</v>
      </c>
      <c r="D29">
        <v>29</v>
      </c>
      <c r="E29" t="s">
        <v>8</v>
      </c>
      <c r="F29" s="2">
        <v>9.58</v>
      </c>
      <c r="G29">
        <v>10.818</v>
      </c>
      <c r="H29" s="7">
        <v>10.029</v>
      </c>
      <c r="I29">
        <v>9.9879999999999995</v>
      </c>
      <c r="J29">
        <f t="shared" si="16"/>
        <v>-1.2379999999999995</v>
      </c>
      <c r="K29">
        <f t="shared" si="17"/>
        <v>-0.40799999999999947</v>
      </c>
      <c r="M29" s="2">
        <v>11.458</v>
      </c>
      <c r="N29">
        <v>12.416</v>
      </c>
      <c r="O29">
        <v>12.416</v>
      </c>
      <c r="P29">
        <v>12.441000000000001</v>
      </c>
      <c r="Q29">
        <f t="shared" si="2"/>
        <v>-0.95800000000000018</v>
      </c>
      <c r="R29">
        <f t="shared" si="3"/>
        <v>-0.98300000000000054</v>
      </c>
      <c r="S29" s="2">
        <v>13.253</v>
      </c>
      <c r="T29">
        <v>13.372999999999999</v>
      </c>
      <c r="U29">
        <v>13.372999999999999</v>
      </c>
      <c r="V29">
        <v>13.374000000000001</v>
      </c>
      <c r="W29">
        <f t="shared" si="4"/>
        <v>-0.11999999999999922</v>
      </c>
      <c r="X29">
        <f t="shared" si="5"/>
        <v>-0.12100000000000044</v>
      </c>
      <c r="Y29" s="2">
        <v>13.829000000000001</v>
      </c>
      <c r="Z29">
        <v>14.381</v>
      </c>
      <c r="AA29">
        <v>14.381</v>
      </c>
      <c r="AB29">
        <v>14.372999999999999</v>
      </c>
      <c r="AC29">
        <f t="shared" si="6"/>
        <v>-0.5519999999999996</v>
      </c>
      <c r="AD29">
        <f t="shared" si="7"/>
        <v>-0.54399999999999871</v>
      </c>
      <c r="AE29" s="2">
        <v>13.83</v>
      </c>
      <c r="AF29">
        <v>14.044</v>
      </c>
      <c r="AG29">
        <v>14.044</v>
      </c>
      <c r="AH29">
        <v>14.125999999999999</v>
      </c>
      <c r="AI29">
        <f t="shared" si="8"/>
        <v>-0.21400000000000041</v>
      </c>
      <c r="AJ29">
        <f t="shared" si="9"/>
        <v>-0.29599999999999937</v>
      </c>
      <c r="AK29" s="2">
        <v>13.930999999999999</v>
      </c>
      <c r="AL29">
        <v>13.862</v>
      </c>
      <c r="AM29">
        <v>13.862</v>
      </c>
      <c r="AN29">
        <v>13.760999999999999</v>
      </c>
      <c r="AO29">
        <f t="shared" si="10"/>
        <v>6.8999999999999062E-2</v>
      </c>
      <c r="AP29">
        <f t="shared" si="11"/>
        <v>0.16999999999999993</v>
      </c>
      <c r="AQ29" s="2">
        <v>14.263999999999999</v>
      </c>
      <c r="AR29">
        <v>13.14</v>
      </c>
      <c r="AS29">
        <v>13.805</v>
      </c>
      <c r="AT29">
        <v>13.737</v>
      </c>
      <c r="AU29">
        <f t="shared" si="12"/>
        <v>1.1239999999999988</v>
      </c>
      <c r="AV29">
        <f t="shared" si="13"/>
        <v>0.52699999999999925</v>
      </c>
      <c r="AW29" s="2"/>
    </row>
    <row r="30" spans="1:54" x14ac:dyDescent="0.2">
      <c r="A30" t="s">
        <v>15</v>
      </c>
      <c r="B30" t="s">
        <v>16</v>
      </c>
      <c r="C30">
        <v>202506605</v>
      </c>
      <c r="D30">
        <v>69</v>
      </c>
      <c r="E30" t="s">
        <v>8</v>
      </c>
      <c r="F30" s="2">
        <v>19.079000000000001</v>
      </c>
      <c r="G30">
        <v>19.05</v>
      </c>
      <c r="H30" s="7">
        <v>19.462</v>
      </c>
      <c r="I30">
        <v>19.678999999999998</v>
      </c>
      <c r="J30">
        <f t="shared" si="16"/>
        <v>2.8999999999999915E-2</v>
      </c>
      <c r="K30">
        <f t="shared" si="17"/>
        <v>-0.59999999999999787</v>
      </c>
      <c r="M30" s="2">
        <v>19.593</v>
      </c>
      <c r="N30">
        <v>20.048999999999999</v>
      </c>
      <c r="O30">
        <v>20.048999999999999</v>
      </c>
      <c r="P30">
        <v>20.361999999999998</v>
      </c>
      <c r="Q30">
        <f t="shared" si="2"/>
        <v>-0.45599999999999952</v>
      </c>
      <c r="R30">
        <f t="shared" si="3"/>
        <v>-0.76899999999999835</v>
      </c>
      <c r="S30" s="2">
        <v>22.053000000000001</v>
      </c>
      <c r="T30">
        <v>21.815999999999999</v>
      </c>
      <c r="U30">
        <v>21.815999999999999</v>
      </c>
      <c r="V30">
        <v>21.998999999999999</v>
      </c>
      <c r="W30">
        <f t="shared" si="4"/>
        <v>0.23700000000000188</v>
      </c>
      <c r="X30">
        <f t="shared" si="5"/>
        <v>5.4000000000002046E-2</v>
      </c>
      <c r="Y30" s="2">
        <v>25.367000000000001</v>
      </c>
      <c r="Z30">
        <v>24.844000000000001</v>
      </c>
      <c r="AA30">
        <v>24.844000000000001</v>
      </c>
      <c r="AB30">
        <v>24.803999999999998</v>
      </c>
      <c r="AC30">
        <f t="shared" si="6"/>
        <v>0.52299999999999969</v>
      </c>
      <c r="AD30">
        <f t="shared" si="7"/>
        <v>0.56300000000000239</v>
      </c>
      <c r="AE30" s="2">
        <v>29.841999999999999</v>
      </c>
      <c r="AF30">
        <v>28.66</v>
      </c>
      <c r="AG30">
        <v>28.66</v>
      </c>
      <c r="AH30">
        <v>28.385999999999999</v>
      </c>
      <c r="AI30">
        <f t="shared" si="8"/>
        <v>1.1819999999999986</v>
      </c>
      <c r="AJ30">
        <f t="shared" si="9"/>
        <v>1.4559999999999995</v>
      </c>
      <c r="AK30" s="2"/>
      <c r="AQ30" s="2"/>
      <c r="AW30" s="2">
        <v>41.420999999999999</v>
      </c>
      <c r="AX30">
        <v>20.484000000000002</v>
      </c>
      <c r="AY30">
        <v>40.201999999999998</v>
      </c>
      <c r="AZ30">
        <v>40.209000000000003</v>
      </c>
      <c r="BA30">
        <f t="shared" si="14"/>
        <v>20.936999999999998</v>
      </c>
      <c r="BB30">
        <f t="shared" si="15"/>
        <v>1.2119999999999962</v>
      </c>
    </row>
    <row r="31" spans="1:54" x14ac:dyDescent="0.2">
      <c r="A31" t="s">
        <v>17</v>
      </c>
      <c r="B31" t="s">
        <v>18</v>
      </c>
      <c r="C31">
        <v>202506703</v>
      </c>
      <c r="D31">
        <v>49</v>
      </c>
      <c r="E31" t="s">
        <v>19</v>
      </c>
      <c r="F31" s="2">
        <v>10.987</v>
      </c>
      <c r="G31">
        <v>11.303000000000001</v>
      </c>
      <c r="H31" s="7">
        <v>11.303000000000001</v>
      </c>
      <c r="I31">
        <v>11.365</v>
      </c>
      <c r="J31">
        <f t="shared" si="16"/>
        <v>-0.31600000000000072</v>
      </c>
      <c r="K31">
        <f t="shared" si="17"/>
        <v>-0.37800000000000011</v>
      </c>
      <c r="M31" s="2">
        <v>12.007999999999999</v>
      </c>
      <c r="N31">
        <v>12.015000000000001</v>
      </c>
      <c r="O31">
        <v>12.015000000000001</v>
      </c>
      <c r="P31">
        <v>12.167</v>
      </c>
      <c r="Q31">
        <f t="shared" si="2"/>
        <v>-7.0000000000014495E-3</v>
      </c>
      <c r="R31">
        <f t="shared" si="3"/>
        <v>-0.1590000000000007</v>
      </c>
      <c r="S31" s="2">
        <v>12.536</v>
      </c>
      <c r="T31">
        <v>13.076000000000001</v>
      </c>
      <c r="U31">
        <v>13.076000000000001</v>
      </c>
      <c r="V31">
        <v>13.177</v>
      </c>
      <c r="W31">
        <f t="shared" si="4"/>
        <v>-0.54000000000000092</v>
      </c>
      <c r="X31">
        <f t="shared" si="5"/>
        <v>-0.64100000000000001</v>
      </c>
      <c r="Y31" s="2">
        <v>15.786</v>
      </c>
      <c r="Z31">
        <v>16.225999999999999</v>
      </c>
      <c r="AA31">
        <v>16.225999999999999</v>
      </c>
      <c r="AB31">
        <v>16.175999999999998</v>
      </c>
      <c r="AC31">
        <f t="shared" si="6"/>
        <v>-0.4399999999999995</v>
      </c>
      <c r="AD31">
        <f t="shared" si="7"/>
        <v>-0.38999999999999879</v>
      </c>
      <c r="AE31" s="2">
        <v>18.661999999999999</v>
      </c>
      <c r="AF31">
        <v>18.888000000000002</v>
      </c>
      <c r="AG31">
        <v>18.888000000000002</v>
      </c>
      <c r="AH31">
        <v>18.664000000000001</v>
      </c>
      <c r="AI31">
        <f t="shared" si="8"/>
        <v>-0.22600000000000264</v>
      </c>
      <c r="AJ31">
        <f t="shared" si="9"/>
        <v>-2.0000000000024443E-3</v>
      </c>
      <c r="AK31" s="2">
        <v>25.08</v>
      </c>
      <c r="AL31">
        <v>22.265999999999998</v>
      </c>
      <c r="AM31">
        <v>24.849</v>
      </c>
      <c r="AN31">
        <v>25.084</v>
      </c>
      <c r="AO31">
        <f t="shared" si="10"/>
        <v>2.8140000000000001</v>
      </c>
      <c r="AP31">
        <f t="shared" si="11"/>
        <v>-4.0000000000013358E-3</v>
      </c>
      <c r="AQ31" s="2">
        <v>31.187000000000001</v>
      </c>
      <c r="AR31">
        <v>29.169</v>
      </c>
      <c r="AS31">
        <v>30.884</v>
      </c>
      <c r="AT31">
        <v>31.215</v>
      </c>
      <c r="AU31">
        <f>AQ31-AR31</f>
        <v>2.0180000000000007</v>
      </c>
      <c r="AV31">
        <f t="shared" si="13"/>
        <v>-2.7999999999998693E-2</v>
      </c>
      <c r="AW31" s="2"/>
    </row>
    <row r="32" spans="1:54" x14ac:dyDescent="0.2">
      <c r="A32" t="s">
        <v>20</v>
      </c>
      <c r="B32" t="s">
        <v>21</v>
      </c>
      <c r="C32">
        <v>202504308</v>
      </c>
      <c r="D32">
        <v>61</v>
      </c>
      <c r="E32" t="s">
        <v>8</v>
      </c>
      <c r="F32" s="2">
        <v>2.8149999999999999</v>
      </c>
      <c r="G32">
        <v>2.1459999999999999</v>
      </c>
      <c r="H32" s="7">
        <v>2.1459999999999999</v>
      </c>
      <c r="I32">
        <v>2.242</v>
      </c>
      <c r="J32">
        <f t="shared" si="16"/>
        <v>0.66900000000000004</v>
      </c>
      <c r="K32">
        <f t="shared" si="17"/>
        <v>0.57299999999999995</v>
      </c>
      <c r="M32" s="2"/>
      <c r="N32">
        <v>2.34</v>
      </c>
      <c r="O32">
        <v>2.34</v>
      </c>
      <c r="P32">
        <v>2.3769999999999998</v>
      </c>
      <c r="Q32">
        <f t="shared" si="2"/>
        <v>-2.34</v>
      </c>
      <c r="R32">
        <f t="shared" si="3"/>
        <v>-2.3769999999999998</v>
      </c>
      <c r="S32" s="2">
        <v>2.9460000000000002</v>
      </c>
      <c r="T32">
        <v>2.2400000000000002</v>
      </c>
      <c r="U32">
        <v>2.2400000000000002</v>
      </c>
      <c r="V32">
        <v>2.2999999999999998</v>
      </c>
      <c r="W32">
        <f t="shared" si="4"/>
        <v>0.70599999999999996</v>
      </c>
      <c r="X32">
        <f t="shared" si="5"/>
        <v>0.64600000000000035</v>
      </c>
      <c r="Y32" s="2">
        <v>3.339</v>
      </c>
      <c r="Z32">
        <v>2.4409999999999998</v>
      </c>
      <c r="AA32">
        <v>2.4409999999999998</v>
      </c>
      <c r="AB32">
        <v>2.46</v>
      </c>
      <c r="AC32">
        <f t="shared" si="6"/>
        <v>0.89800000000000013</v>
      </c>
      <c r="AD32">
        <f t="shared" si="7"/>
        <v>0.879</v>
      </c>
      <c r="AE32" s="2">
        <v>3.282</v>
      </c>
      <c r="AF32">
        <v>2.8090000000000002</v>
      </c>
      <c r="AG32">
        <v>2.8090000000000002</v>
      </c>
      <c r="AH32">
        <v>2.7810000000000001</v>
      </c>
      <c r="AI32">
        <f t="shared" si="8"/>
        <v>0.47299999999999986</v>
      </c>
      <c r="AJ32">
        <f t="shared" si="9"/>
        <v>0.50099999999999989</v>
      </c>
      <c r="AK32" s="2"/>
      <c r="AQ32" s="2"/>
      <c r="AW32" s="2"/>
    </row>
    <row r="33" spans="1:54" x14ac:dyDescent="0.2">
      <c r="A33" t="s">
        <v>22</v>
      </c>
      <c r="B33" t="s">
        <v>23</v>
      </c>
      <c r="C33">
        <v>202505010</v>
      </c>
      <c r="D33">
        <v>52</v>
      </c>
      <c r="E33" t="s">
        <v>8</v>
      </c>
      <c r="F33" s="2">
        <v>26.419</v>
      </c>
      <c r="G33">
        <v>24.702999999999999</v>
      </c>
      <c r="H33" s="7">
        <v>24.052</v>
      </c>
      <c r="I33">
        <v>24.353999999999999</v>
      </c>
      <c r="J33">
        <f t="shared" si="16"/>
        <v>1.7160000000000011</v>
      </c>
      <c r="K33">
        <f t="shared" si="17"/>
        <v>2.0650000000000013</v>
      </c>
      <c r="M33" s="2">
        <v>28.812999999999999</v>
      </c>
      <c r="N33">
        <v>26.959</v>
      </c>
      <c r="O33">
        <v>26.959</v>
      </c>
      <c r="P33">
        <v>27.417000000000002</v>
      </c>
      <c r="Q33">
        <f t="shared" si="2"/>
        <v>1.8539999999999992</v>
      </c>
      <c r="R33">
        <f t="shared" si="3"/>
        <v>1.3959999999999972</v>
      </c>
      <c r="S33" s="2">
        <v>30.405999999999999</v>
      </c>
      <c r="T33">
        <v>27.82</v>
      </c>
      <c r="U33">
        <v>27.82</v>
      </c>
      <c r="V33">
        <v>28.077999999999999</v>
      </c>
      <c r="W33">
        <f t="shared" si="4"/>
        <v>2.5859999999999985</v>
      </c>
      <c r="X33">
        <f t="shared" si="5"/>
        <v>2.3279999999999994</v>
      </c>
      <c r="Y33" s="2">
        <v>34.51</v>
      </c>
      <c r="Z33">
        <v>32.770000000000003</v>
      </c>
      <c r="AA33">
        <v>33.390999999999998</v>
      </c>
      <c r="AB33">
        <v>33.353999999999999</v>
      </c>
      <c r="AC33">
        <f t="shared" si="6"/>
        <v>1.7399999999999949</v>
      </c>
      <c r="AD33">
        <f t="shared" si="7"/>
        <v>1.1559999999999988</v>
      </c>
      <c r="AE33" s="2">
        <v>37.64</v>
      </c>
      <c r="AF33">
        <v>37.154000000000003</v>
      </c>
      <c r="AG33">
        <v>37.154000000000003</v>
      </c>
      <c r="AH33">
        <v>36.938000000000002</v>
      </c>
      <c r="AI33">
        <f t="shared" si="8"/>
        <v>0.4859999999999971</v>
      </c>
      <c r="AJ33">
        <f t="shared" si="9"/>
        <v>0.70199999999999818</v>
      </c>
      <c r="AK33" s="2">
        <v>48.805999999999997</v>
      </c>
      <c r="AL33">
        <v>43.756999999999998</v>
      </c>
      <c r="AM33">
        <v>46.38</v>
      </c>
      <c r="AN33">
        <v>46.872999999999998</v>
      </c>
      <c r="AO33">
        <f t="shared" si="10"/>
        <v>5.0489999999999995</v>
      </c>
      <c r="AP33">
        <f t="shared" si="11"/>
        <v>1.9329999999999998</v>
      </c>
      <c r="AQ33" s="2">
        <v>64.394000000000005</v>
      </c>
      <c r="AR33">
        <v>56.851999999999997</v>
      </c>
      <c r="AS33">
        <v>60.567999999999998</v>
      </c>
      <c r="AT33">
        <v>60.881999999999998</v>
      </c>
      <c r="AU33">
        <f t="shared" si="12"/>
        <v>7.5420000000000087</v>
      </c>
      <c r="AV33">
        <f t="shared" si="13"/>
        <v>3.5120000000000076</v>
      </c>
      <c r="AW33" s="2"/>
    </row>
    <row r="34" spans="1:54" x14ac:dyDescent="0.2">
      <c r="A34" t="s">
        <v>24</v>
      </c>
      <c r="B34" t="s">
        <v>25</v>
      </c>
      <c r="C34">
        <v>202503802</v>
      </c>
      <c r="D34">
        <v>47</v>
      </c>
      <c r="E34" t="s">
        <v>19</v>
      </c>
      <c r="F34" s="2">
        <v>11.641</v>
      </c>
      <c r="G34">
        <v>11.795999999999999</v>
      </c>
      <c r="H34" s="7">
        <v>11.795999999999999</v>
      </c>
      <c r="I34">
        <v>11.885</v>
      </c>
      <c r="J34">
        <f t="shared" si="16"/>
        <v>-0.15499999999999936</v>
      </c>
      <c r="K34">
        <f t="shared" si="17"/>
        <v>-0.24399999999999977</v>
      </c>
      <c r="M34" s="2">
        <v>11.345000000000001</v>
      </c>
      <c r="N34">
        <v>11.371</v>
      </c>
      <c r="O34">
        <v>11.371</v>
      </c>
      <c r="P34">
        <v>11.513</v>
      </c>
      <c r="Q34">
        <f t="shared" si="2"/>
        <v>-2.5999999999999801E-2</v>
      </c>
      <c r="R34">
        <f t="shared" si="3"/>
        <v>-0.16799999999999926</v>
      </c>
      <c r="S34" s="2">
        <v>10.865</v>
      </c>
      <c r="T34">
        <v>10.920999999999999</v>
      </c>
      <c r="U34">
        <v>10.920999999999999</v>
      </c>
      <c r="V34">
        <v>10.984999999999999</v>
      </c>
      <c r="W34">
        <f t="shared" si="4"/>
        <v>-5.5999999999999162E-2</v>
      </c>
      <c r="X34">
        <f>S34-V34</f>
        <v>-0.11999999999999922</v>
      </c>
      <c r="Y34" s="2">
        <v>10.762</v>
      </c>
      <c r="Z34">
        <v>10.782</v>
      </c>
      <c r="AA34">
        <v>10.682</v>
      </c>
      <c r="AB34">
        <v>10.68</v>
      </c>
      <c r="AC34">
        <f t="shared" si="6"/>
        <v>-1.9999999999999574E-2</v>
      </c>
      <c r="AD34">
        <f t="shared" si="7"/>
        <v>8.2000000000000739E-2</v>
      </c>
      <c r="AE34" s="2">
        <v>10.87</v>
      </c>
      <c r="AF34">
        <v>11.454000000000001</v>
      </c>
      <c r="AG34">
        <v>10.945</v>
      </c>
      <c r="AH34">
        <v>10.842000000000001</v>
      </c>
      <c r="AI34">
        <f t="shared" si="8"/>
        <v>-0.58400000000000141</v>
      </c>
      <c r="AJ34">
        <f t="shared" si="9"/>
        <v>2.7999999999998693E-2</v>
      </c>
      <c r="AK34" s="2">
        <v>12.762</v>
      </c>
      <c r="AL34">
        <v>12.465</v>
      </c>
      <c r="AM34">
        <v>12.365</v>
      </c>
      <c r="AN34">
        <v>12.37</v>
      </c>
      <c r="AO34">
        <f t="shared" si="10"/>
        <v>0.2970000000000006</v>
      </c>
      <c r="AP34">
        <f t="shared" si="11"/>
        <v>0.39200000000000124</v>
      </c>
      <c r="AQ34" s="2">
        <v>12.884</v>
      </c>
      <c r="AR34">
        <v>12.53</v>
      </c>
      <c r="AS34">
        <v>13.013999999999999</v>
      </c>
      <c r="AT34">
        <v>13.069000000000001</v>
      </c>
      <c r="AU34">
        <f t="shared" si="12"/>
        <v>0.35400000000000098</v>
      </c>
      <c r="AV34">
        <f t="shared" si="13"/>
        <v>-0.1850000000000005</v>
      </c>
      <c r="AW34" s="2">
        <v>14.439</v>
      </c>
      <c r="AX34">
        <v>15.648999999999999</v>
      </c>
      <c r="AY34">
        <v>14.865</v>
      </c>
      <c r="AZ34">
        <v>14.858000000000001</v>
      </c>
      <c r="BA34">
        <f t="shared" si="14"/>
        <v>-1.2099999999999991</v>
      </c>
      <c r="BB34">
        <f t="shared" si="15"/>
        <v>-0.41900000000000048</v>
      </c>
    </row>
    <row r="35" spans="1:54" x14ac:dyDescent="0.2">
      <c r="A35" t="s">
        <v>26</v>
      </c>
      <c r="B35" t="s">
        <v>27</v>
      </c>
      <c r="C35" t="s">
        <v>28</v>
      </c>
      <c r="D35">
        <v>73</v>
      </c>
      <c r="E35" t="s">
        <v>19</v>
      </c>
      <c r="F35" s="2">
        <v>6.282</v>
      </c>
      <c r="G35">
        <v>6.8259999999999996</v>
      </c>
      <c r="H35" s="7">
        <v>6.8259999999999996</v>
      </c>
      <c r="I35">
        <v>6.7729999999999997</v>
      </c>
      <c r="J35">
        <f t="shared" si="16"/>
        <v>-0.54399999999999959</v>
      </c>
      <c r="K35">
        <f t="shared" si="17"/>
        <v>-0.49099999999999966</v>
      </c>
      <c r="M35" s="2">
        <v>5.7439999999999998</v>
      </c>
      <c r="N35">
        <v>6.1020000000000003</v>
      </c>
      <c r="O35">
        <v>6.1020000000000003</v>
      </c>
      <c r="P35">
        <v>6.18</v>
      </c>
      <c r="Q35">
        <f t="shared" si="2"/>
        <v>-0.35800000000000054</v>
      </c>
      <c r="R35">
        <f t="shared" si="3"/>
        <v>-0.43599999999999994</v>
      </c>
      <c r="S35" s="2">
        <v>5.8559999999999999</v>
      </c>
      <c r="T35">
        <v>6.2709999999999999</v>
      </c>
      <c r="U35">
        <v>6.2709999999999999</v>
      </c>
      <c r="V35">
        <v>6.34</v>
      </c>
      <c r="W35">
        <f t="shared" si="4"/>
        <v>-0.41500000000000004</v>
      </c>
      <c r="X35">
        <f t="shared" si="5"/>
        <v>-0.48399999999999999</v>
      </c>
      <c r="Y35" s="2">
        <v>6.4260000000000002</v>
      </c>
      <c r="Z35">
        <v>6.8929999999999998</v>
      </c>
      <c r="AA35">
        <v>6.8929999999999998</v>
      </c>
      <c r="AB35">
        <v>6.8879999999999999</v>
      </c>
      <c r="AC35">
        <f t="shared" si="6"/>
        <v>-0.46699999999999964</v>
      </c>
      <c r="AD35">
        <f t="shared" si="7"/>
        <v>-0.46199999999999974</v>
      </c>
      <c r="AE35" s="2">
        <v>6.431</v>
      </c>
      <c r="AF35">
        <v>7.02</v>
      </c>
      <c r="AG35">
        <v>6.8559999999999999</v>
      </c>
      <c r="AH35">
        <v>6.84</v>
      </c>
      <c r="AI35">
        <f t="shared" si="8"/>
        <v>-0.58899999999999952</v>
      </c>
      <c r="AJ35">
        <f t="shared" si="9"/>
        <v>-0.40899999999999981</v>
      </c>
      <c r="AK35" s="2">
        <v>6.5609999999999999</v>
      </c>
      <c r="AL35">
        <v>7.032</v>
      </c>
      <c r="AM35">
        <v>7.1820000000000004</v>
      </c>
      <c r="AN35">
        <v>7.2130000000000001</v>
      </c>
      <c r="AO35">
        <f t="shared" si="10"/>
        <v>-0.47100000000000009</v>
      </c>
      <c r="AP35">
        <f t="shared" si="11"/>
        <v>-0.65200000000000014</v>
      </c>
      <c r="AQ35" s="2">
        <v>7.6779999999999999</v>
      </c>
      <c r="AR35">
        <v>7.6639999999999997</v>
      </c>
      <c r="AS35">
        <v>8.0709999999999997</v>
      </c>
      <c r="AT35">
        <v>8.1329999999999991</v>
      </c>
      <c r="AU35">
        <f t="shared" si="12"/>
        <v>1.4000000000000234E-2</v>
      </c>
      <c r="AV35">
        <f>AQ35-AT35</f>
        <v>-0.45499999999999918</v>
      </c>
      <c r="AW35" s="2"/>
    </row>
    <row r="36" spans="1:54" x14ac:dyDescent="0.2">
      <c r="A36" t="s">
        <v>29</v>
      </c>
      <c r="B36" t="s">
        <v>30</v>
      </c>
      <c r="C36" t="s">
        <v>31</v>
      </c>
      <c r="D36">
        <v>73</v>
      </c>
      <c r="E36" t="s">
        <v>8</v>
      </c>
      <c r="F36" s="2">
        <v>23.876000000000001</v>
      </c>
      <c r="G36">
        <v>21.846</v>
      </c>
      <c r="H36" s="7">
        <v>21.846</v>
      </c>
      <c r="I36">
        <v>22.058</v>
      </c>
      <c r="J36">
        <f t="shared" si="16"/>
        <v>2.0300000000000011</v>
      </c>
      <c r="K36">
        <f t="shared" si="17"/>
        <v>1.8180000000000014</v>
      </c>
      <c r="M36" s="2">
        <v>25.771000000000001</v>
      </c>
      <c r="N36">
        <v>23.606000000000002</v>
      </c>
      <c r="O36">
        <v>23.606000000000002</v>
      </c>
      <c r="P36">
        <v>24.065000000000001</v>
      </c>
      <c r="Q36">
        <f t="shared" si="2"/>
        <v>2.1649999999999991</v>
      </c>
      <c r="R36">
        <f t="shared" si="3"/>
        <v>1.7059999999999995</v>
      </c>
      <c r="S36" s="2">
        <v>30.042000000000002</v>
      </c>
      <c r="T36">
        <v>26.766999999999999</v>
      </c>
      <c r="U36">
        <v>26.766999999999999</v>
      </c>
      <c r="V36">
        <v>27.177</v>
      </c>
      <c r="W36">
        <f t="shared" si="4"/>
        <v>3.2750000000000021</v>
      </c>
      <c r="X36">
        <f t="shared" si="5"/>
        <v>2.865000000000002</v>
      </c>
      <c r="Y36" s="2">
        <v>36.426000000000002</v>
      </c>
      <c r="Z36">
        <v>34.061</v>
      </c>
      <c r="AA36">
        <v>34.061</v>
      </c>
      <c r="AB36">
        <v>33.878999999999998</v>
      </c>
      <c r="AC36">
        <f t="shared" si="6"/>
        <v>2.365000000000002</v>
      </c>
      <c r="AD36">
        <f t="shared" si="7"/>
        <v>2.5470000000000041</v>
      </c>
      <c r="AE36" s="2"/>
      <c r="AK36" s="2"/>
      <c r="AQ36" s="2"/>
      <c r="AW36" s="2"/>
    </row>
    <row r="37" spans="1:54" x14ac:dyDescent="0.2">
      <c r="A37" t="s">
        <v>32</v>
      </c>
      <c r="B37" t="s">
        <v>33</v>
      </c>
      <c r="C37" t="s">
        <v>34</v>
      </c>
      <c r="D37">
        <v>65</v>
      </c>
      <c r="E37" t="s">
        <v>8</v>
      </c>
      <c r="F37" s="2">
        <v>15.2</v>
      </c>
      <c r="G37">
        <v>14.744999999999999</v>
      </c>
      <c r="H37" s="7">
        <v>15.292</v>
      </c>
      <c r="I37">
        <v>15.166</v>
      </c>
      <c r="J37">
        <f t="shared" si="16"/>
        <v>0.45500000000000007</v>
      </c>
      <c r="K37">
        <f t="shared" si="17"/>
        <v>3.399999999999892E-2</v>
      </c>
      <c r="M37" s="2">
        <v>13.718999999999999</v>
      </c>
      <c r="N37">
        <v>13.619</v>
      </c>
      <c r="O37">
        <v>13.731999999999999</v>
      </c>
      <c r="P37">
        <v>13.685</v>
      </c>
      <c r="Q37">
        <f t="shared" si="2"/>
        <v>9.9999999999999645E-2</v>
      </c>
      <c r="R37">
        <f t="shared" si="3"/>
        <v>3.399999999999892E-2</v>
      </c>
      <c r="S37" s="2">
        <v>12.148</v>
      </c>
      <c r="T37">
        <v>12.765000000000001</v>
      </c>
      <c r="U37">
        <v>12.765000000000001</v>
      </c>
      <c r="V37">
        <v>12.743</v>
      </c>
      <c r="W37">
        <f t="shared" si="4"/>
        <v>-0.61700000000000088</v>
      </c>
      <c r="X37">
        <f t="shared" si="5"/>
        <v>-0.59500000000000064</v>
      </c>
      <c r="Y37" s="2">
        <v>11.532</v>
      </c>
      <c r="Z37">
        <v>12.242000000000001</v>
      </c>
      <c r="AA37">
        <v>12.242000000000001</v>
      </c>
      <c r="AB37">
        <v>12.212</v>
      </c>
      <c r="AC37">
        <f t="shared" si="6"/>
        <v>-0.71000000000000085</v>
      </c>
      <c r="AD37">
        <f t="shared" si="7"/>
        <v>-0.67999999999999972</v>
      </c>
      <c r="AE37" s="2">
        <v>11.000999999999999</v>
      </c>
      <c r="AF37">
        <v>11.372</v>
      </c>
      <c r="AG37">
        <v>11.372</v>
      </c>
      <c r="AH37">
        <v>11.346</v>
      </c>
      <c r="AI37">
        <f t="shared" si="8"/>
        <v>-0.37100000000000044</v>
      </c>
      <c r="AJ37">
        <f t="shared" si="9"/>
        <v>-0.34500000000000064</v>
      </c>
      <c r="AK37" s="2"/>
      <c r="AQ37" s="2"/>
      <c r="AW37" s="2"/>
    </row>
    <row r="38" spans="1:54" x14ac:dyDescent="0.2">
      <c r="A38" t="s">
        <v>35</v>
      </c>
      <c r="B38" t="s">
        <v>36</v>
      </c>
      <c r="C38" t="s">
        <v>37</v>
      </c>
      <c r="D38">
        <v>81</v>
      </c>
      <c r="E38" t="s">
        <v>8</v>
      </c>
      <c r="F38" s="2">
        <v>12.483000000000001</v>
      </c>
      <c r="G38">
        <v>12.864000000000001</v>
      </c>
      <c r="H38" s="7">
        <v>12.864000000000001</v>
      </c>
      <c r="I38">
        <v>12.661</v>
      </c>
      <c r="J38">
        <f t="shared" si="16"/>
        <v>-0.38100000000000023</v>
      </c>
      <c r="K38">
        <f t="shared" si="17"/>
        <v>-0.17799999999999905</v>
      </c>
      <c r="M38" s="2">
        <v>10.613</v>
      </c>
      <c r="N38">
        <v>11.063000000000001</v>
      </c>
      <c r="O38">
        <v>11.063000000000001</v>
      </c>
      <c r="P38">
        <v>10.93</v>
      </c>
      <c r="Q38">
        <f t="shared" si="2"/>
        <v>-0.45000000000000107</v>
      </c>
      <c r="R38">
        <f t="shared" si="3"/>
        <v>-0.31700000000000017</v>
      </c>
      <c r="S38" s="2">
        <v>9.5609999999999999</v>
      </c>
      <c r="T38">
        <v>9.8539999999999992</v>
      </c>
      <c r="U38">
        <v>9.8539999999999992</v>
      </c>
      <c r="V38">
        <v>9.7620000000000005</v>
      </c>
      <c r="W38">
        <f t="shared" si="4"/>
        <v>-0.29299999999999926</v>
      </c>
      <c r="X38">
        <f t="shared" si="5"/>
        <v>-0.20100000000000051</v>
      </c>
      <c r="Y38" s="2">
        <v>8.7769999999999992</v>
      </c>
      <c r="Z38">
        <v>9.0500000000000007</v>
      </c>
      <c r="AA38">
        <v>9.0410000000000004</v>
      </c>
      <c r="AB38">
        <v>9.0440000000000005</v>
      </c>
      <c r="AC38">
        <f t="shared" si="6"/>
        <v>-0.27300000000000146</v>
      </c>
      <c r="AD38">
        <f t="shared" si="7"/>
        <v>-0.26700000000000124</v>
      </c>
      <c r="AE38" s="2">
        <v>8.66</v>
      </c>
      <c r="AF38">
        <v>8.5709999999999997</v>
      </c>
      <c r="AG38">
        <v>8.7560000000000002</v>
      </c>
      <c r="AH38">
        <v>8.7750000000000004</v>
      </c>
      <c r="AI38">
        <f t="shared" si="8"/>
        <v>8.9000000000000412E-2</v>
      </c>
      <c r="AJ38">
        <f t="shared" si="9"/>
        <v>-0.11500000000000021</v>
      </c>
      <c r="AK38" s="2">
        <v>7.851</v>
      </c>
      <c r="AL38">
        <v>7.7409999999999997</v>
      </c>
      <c r="AM38">
        <v>7.9729999999999999</v>
      </c>
      <c r="AN38">
        <v>7.9560000000000004</v>
      </c>
      <c r="AO38">
        <f t="shared" si="10"/>
        <v>0.11000000000000032</v>
      </c>
      <c r="AP38">
        <f t="shared" si="11"/>
        <v>-0.10500000000000043</v>
      </c>
      <c r="AQ38" s="2">
        <v>7.8970000000000002</v>
      </c>
      <c r="AR38">
        <v>7.7080000000000002</v>
      </c>
      <c r="AS38">
        <v>7.806</v>
      </c>
      <c r="AT38">
        <v>7.8330000000000002</v>
      </c>
      <c r="AU38">
        <f t="shared" si="12"/>
        <v>0.18900000000000006</v>
      </c>
      <c r="AV38">
        <f t="shared" si="13"/>
        <v>6.4000000000000057E-2</v>
      </c>
      <c r="AW38" s="2">
        <v>7.7880000000000003</v>
      </c>
      <c r="AX38">
        <v>6.9349999999999996</v>
      </c>
      <c r="AY38">
        <v>7.9290000000000003</v>
      </c>
      <c r="AZ38">
        <v>7.931</v>
      </c>
      <c r="BA38">
        <f t="shared" si="14"/>
        <v>0.85300000000000065</v>
      </c>
      <c r="BB38">
        <f t="shared" si="15"/>
        <v>-0.14299999999999979</v>
      </c>
    </row>
    <row r="39" spans="1:54" x14ac:dyDescent="0.2">
      <c r="A39" t="s">
        <v>38</v>
      </c>
      <c r="B39" t="s">
        <v>39</v>
      </c>
      <c r="C39" t="s">
        <v>40</v>
      </c>
      <c r="D39">
        <v>64</v>
      </c>
      <c r="E39" t="s">
        <v>19</v>
      </c>
      <c r="F39" s="2">
        <v>8.1679999999999993</v>
      </c>
      <c r="G39">
        <v>7.3860000000000001</v>
      </c>
      <c r="H39" s="7">
        <v>7.3860000000000001</v>
      </c>
      <c r="I39">
        <v>7.47</v>
      </c>
      <c r="J39">
        <f t="shared" si="16"/>
        <v>0.78199999999999914</v>
      </c>
      <c r="K39">
        <f t="shared" si="17"/>
        <v>0.69799999999999951</v>
      </c>
      <c r="M39" s="2">
        <v>7.7640000000000002</v>
      </c>
      <c r="N39">
        <v>7.5069999999999997</v>
      </c>
      <c r="O39">
        <v>7.5069999999999997</v>
      </c>
      <c r="P39">
        <v>7.7220000000000004</v>
      </c>
      <c r="Q39">
        <f t="shared" si="2"/>
        <v>0.25700000000000056</v>
      </c>
      <c r="R39">
        <f t="shared" si="3"/>
        <v>4.1999999999999815E-2</v>
      </c>
      <c r="S39" s="2">
        <v>9.1329999999999991</v>
      </c>
      <c r="T39">
        <v>8.2729999999999997</v>
      </c>
      <c r="U39">
        <v>8.2729999999999997</v>
      </c>
      <c r="V39">
        <v>8.4</v>
      </c>
      <c r="W39">
        <f t="shared" si="4"/>
        <v>0.85999999999999943</v>
      </c>
      <c r="X39">
        <f t="shared" si="5"/>
        <v>0.73299999999999876</v>
      </c>
      <c r="Y39" s="2">
        <v>10.882</v>
      </c>
      <c r="Z39">
        <v>10.659000000000001</v>
      </c>
      <c r="AA39">
        <v>10.659000000000001</v>
      </c>
      <c r="AB39">
        <v>10.693</v>
      </c>
      <c r="AC39">
        <f t="shared" si="6"/>
        <v>0.22299999999999898</v>
      </c>
      <c r="AD39">
        <f t="shared" si="7"/>
        <v>0.18900000000000006</v>
      </c>
      <c r="AE39" s="2">
        <v>13.891999999999999</v>
      </c>
      <c r="AF39">
        <v>13.542999999999999</v>
      </c>
      <c r="AG39">
        <v>13.542999999999999</v>
      </c>
      <c r="AH39">
        <v>13.372</v>
      </c>
      <c r="AI39">
        <f t="shared" si="8"/>
        <v>0.3490000000000002</v>
      </c>
      <c r="AJ39">
        <f t="shared" si="9"/>
        <v>0.51999999999999957</v>
      </c>
      <c r="AK39" s="2">
        <v>16.632000000000001</v>
      </c>
      <c r="AL39">
        <v>15.430999999999999</v>
      </c>
      <c r="AM39">
        <v>15.430999999999999</v>
      </c>
      <c r="AN39">
        <v>15.478</v>
      </c>
      <c r="AO39">
        <f t="shared" si="10"/>
        <v>1.2010000000000023</v>
      </c>
      <c r="AP39">
        <f t="shared" si="11"/>
        <v>1.1540000000000017</v>
      </c>
      <c r="AQ39" s="2">
        <v>19.978000000000002</v>
      </c>
      <c r="AR39">
        <v>19.347000000000001</v>
      </c>
      <c r="AS39">
        <v>19.347000000000001</v>
      </c>
      <c r="AT39">
        <v>19.504999999999999</v>
      </c>
      <c r="AU39">
        <f t="shared" si="12"/>
        <v>0.63100000000000023</v>
      </c>
      <c r="AV39">
        <f t="shared" si="13"/>
        <v>0.47300000000000253</v>
      </c>
      <c r="AW39" s="2"/>
    </row>
    <row r="40" spans="1:54" x14ac:dyDescent="0.2">
      <c r="A40" t="s">
        <v>41</v>
      </c>
      <c r="B40" t="s">
        <v>42</v>
      </c>
      <c r="C40" t="s">
        <v>43</v>
      </c>
      <c r="D40">
        <v>35</v>
      </c>
      <c r="E40" t="s">
        <v>8</v>
      </c>
      <c r="F40" s="2">
        <v>8.4730000000000008</v>
      </c>
      <c r="G40">
        <v>8.2409999999999997</v>
      </c>
      <c r="H40" s="7">
        <v>8.2409999999999997</v>
      </c>
      <c r="I40">
        <v>8.3089999999999993</v>
      </c>
      <c r="J40">
        <f t="shared" si="16"/>
        <v>0.23200000000000109</v>
      </c>
      <c r="K40">
        <f t="shared" si="17"/>
        <v>0.16400000000000148</v>
      </c>
      <c r="M40" s="2"/>
      <c r="S40" s="2">
        <v>10.175000000000001</v>
      </c>
      <c r="T40">
        <v>10.528</v>
      </c>
      <c r="U40">
        <v>10.528</v>
      </c>
      <c r="V40">
        <v>10.593999999999999</v>
      </c>
      <c r="W40">
        <f t="shared" si="4"/>
        <v>-0.35299999999999976</v>
      </c>
      <c r="X40">
        <f t="shared" si="5"/>
        <v>-0.41899999999999871</v>
      </c>
      <c r="Y40" s="2">
        <v>12.051</v>
      </c>
      <c r="Z40">
        <v>13.807</v>
      </c>
      <c r="AA40">
        <v>12.625</v>
      </c>
      <c r="AB40">
        <v>12.611000000000001</v>
      </c>
      <c r="AC40">
        <f t="shared" si="6"/>
        <v>-1.7560000000000002</v>
      </c>
      <c r="AD40">
        <f t="shared" si="7"/>
        <v>-0.5600000000000005</v>
      </c>
      <c r="AE40" s="2">
        <v>14.148999999999999</v>
      </c>
      <c r="AF40">
        <v>14.701000000000001</v>
      </c>
      <c r="AG40">
        <v>14.701000000000001</v>
      </c>
      <c r="AH40">
        <v>14.573</v>
      </c>
      <c r="AI40">
        <f t="shared" si="8"/>
        <v>-0.55200000000000138</v>
      </c>
      <c r="AJ40">
        <f t="shared" si="9"/>
        <v>-0.42400000000000126</v>
      </c>
      <c r="AK40" s="2">
        <v>17.218</v>
      </c>
      <c r="AL40">
        <v>15.901</v>
      </c>
      <c r="AM40">
        <v>17.888999999999999</v>
      </c>
      <c r="AN40">
        <v>18.007999999999999</v>
      </c>
      <c r="AO40">
        <f t="shared" si="10"/>
        <v>1.3170000000000002</v>
      </c>
      <c r="AP40">
        <f>AK40-AN40</f>
        <v>-0.78999999999999915</v>
      </c>
      <c r="AQ40" s="2">
        <v>21.306999999999999</v>
      </c>
      <c r="AR40">
        <v>18.896000000000001</v>
      </c>
      <c r="AS40">
        <v>23.9</v>
      </c>
      <c r="AT40">
        <v>24.298999999999999</v>
      </c>
      <c r="AU40">
        <f t="shared" si="12"/>
        <v>2.4109999999999978</v>
      </c>
      <c r="AV40">
        <f t="shared" si="13"/>
        <v>-2.9920000000000009</v>
      </c>
      <c r="AW40" s="2"/>
    </row>
    <row r="41" spans="1:54" x14ac:dyDescent="0.2">
      <c r="A41" t="s">
        <v>44</v>
      </c>
      <c r="B41" t="s">
        <v>45</v>
      </c>
      <c r="C41" t="s">
        <v>46</v>
      </c>
      <c r="D41">
        <v>91</v>
      </c>
      <c r="E41" t="s">
        <v>8</v>
      </c>
      <c r="F41" s="2">
        <v>7.32</v>
      </c>
      <c r="G41">
        <v>7.375</v>
      </c>
      <c r="H41" s="7">
        <v>7.375</v>
      </c>
      <c r="I41">
        <v>7.4130000000000003</v>
      </c>
      <c r="J41">
        <f t="shared" si="16"/>
        <v>-5.4999999999999716E-2</v>
      </c>
      <c r="K41">
        <f t="shared" si="17"/>
        <v>-9.2999999999999972E-2</v>
      </c>
      <c r="M41" s="2">
        <v>7.59</v>
      </c>
      <c r="N41">
        <v>7.56</v>
      </c>
      <c r="O41">
        <v>7.56</v>
      </c>
      <c r="P41">
        <v>7.7050000000000001</v>
      </c>
      <c r="Q41">
        <f t="shared" si="2"/>
        <v>3.0000000000000249E-2</v>
      </c>
      <c r="R41">
        <f t="shared" si="3"/>
        <v>-0.11500000000000021</v>
      </c>
      <c r="S41" s="2">
        <v>8.3420000000000005</v>
      </c>
      <c r="T41">
        <v>8.1630000000000003</v>
      </c>
      <c r="U41">
        <v>8.1630000000000003</v>
      </c>
      <c r="V41">
        <v>8.2319999999999993</v>
      </c>
      <c r="W41">
        <f t="shared" si="4"/>
        <v>0.17900000000000027</v>
      </c>
      <c r="X41">
        <f t="shared" si="5"/>
        <v>0.11000000000000121</v>
      </c>
      <c r="Y41" s="2">
        <v>9.3040000000000003</v>
      </c>
      <c r="Z41">
        <v>8.8109999999999999</v>
      </c>
      <c r="AA41">
        <v>9.17</v>
      </c>
      <c r="AB41">
        <v>9.1639999999999997</v>
      </c>
      <c r="AC41">
        <f t="shared" si="6"/>
        <v>0.49300000000000033</v>
      </c>
      <c r="AD41">
        <f t="shared" si="7"/>
        <v>0.14000000000000057</v>
      </c>
      <c r="AE41" s="2">
        <v>9.907</v>
      </c>
      <c r="AF41">
        <v>9.8680000000000003</v>
      </c>
      <c r="AG41">
        <v>9.8680000000000003</v>
      </c>
      <c r="AH41">
        <v>9.82</v>
      </c>
      <c r="AI41">
        <f t="shared" si="8"/>
        <v>3.8999999999999702E-2</v>
      </c>
      <c r="AJ41">
        <f t="shared" si="9"/>
        <v>8.6999999999999744E-2</v>
      </c>
      <c r="AK41" s="2">
        <v>10.686999999999999</v>
      </c>
      <c r="AL41">
        <v>10.138</v>
      </c>
      <c r="AM41">
        <v>11.007</v>
      </c>
      <c r="AN41">
        <v>11.015000000000001</v>
      </c>
      <c r="AO41">
        <f t="shared" si="10"/>
        <v>0.54899999999999949</v>
      </c>
      <c r="AP41">
        <f t="shared" si="11"/>
        <v>-0.32800000000000118</v>
      </c>
      <c r="AQ41" s="2">
        <v>11.597</v>
      </c>
      <c r="AR41">
        <v>10.763999999999999</v>
      </c>
      <c r="AS41">
        <v>11.734999999999999</v>
      </c>
      <c r="AT41">
        <v>11.744999999999999</v>
      </c>
      <c r="AU41">
        <f t="shared" si="12"/>
        <v>0.83300000000000018</v>
      </c>
      <c r="AV41">
        <f t="shared" si="13"/>
        <v>-0.14799999999999969</v>
      </c>
      <c r="AW41" s="2"/>
    </row>
    <row r="44" spans="1:54" x14ac:dyDescent="0.2">
      <c r="A44" s="3" t="s">
        <v>80</v>
      </c>
      <c r="F44" s="4">
        <v>31</v>
      </c>
      <c r="M44" s="4">
        <v>32</v>
      </c>
      <c r="S44" s="4">
        <v>33</v>
      </c>
      <c r="Y44" s="4">
        <v>34</v>
      </c>
      <c r="AE44" s="4">
        <v>35</v>
      </c>
      <c r="AK44" s="4">
        <v>36</v>
      </c>
      <c r="AQ44" s="4">
        <v>37</v>
      </c>
      <c r="AW44" s="4">
        <v>38</v>
      </c>
    </row>
    <row r="45" spans="1:54" x14ac:dyDescent="0.2">
      <c r="A45" t="s">
        <v>1</v>
      </c>
      <c r="B45" t="s">
        <v>2</v>
      </c>
      <c r="C45" t="s">
        <v>3</v>
      </c>
      <c r="D45" t="s">
        <v>4</v>
      </c>
      <c r="E45" t="s">
        <v>5</v>
      </c>
      <c r="F45" s="1" t="s">
        <v>62</v>
      </c>
      <c r="G45" t="s">
        <v>85</v>
      </c>
      <c r="H45" t="s">
        <v>47</v>
      </c>
      <c r="I45" t="s">
        <v>89</v>
      </c>
      <c r="J45" t="s">
        <v>86</v>
      </c>
      <c r="K45" t="s">
        <v>87</v>
      </c>
      <c r="M45" s="1" t="s">
        <v>63</v>
      </c>
      <c r="N45" t="s">
        <v>85</v>
      </c>
      <c r="O45" t="s">
        <v>47</v>
      </c>
      <c r="P45" t="s">
        <v>89</v>
      </c>
      <c r="Q45" t="s">
        <v>86</v>
      </c>
      <c r="R45" t="s">
        <v>87</v>
      </c>
      <c r="S45" s="1" t="s">
        <v>64</v>
      </c>
      <c r="T45" t="s">
        <v>85</v>
      </c>
      <c r="U45" t="s">
        <v>47</v>
      </c>
      <c r="V45" t="s">
        <v>89</v>
      </c>
      <c r="W45" s="6" t="s">
        <v>86</v>
      </c>
      <c r="X45" s="6" t="s">
        <v>87</v>
      </c>
      <c r="Y45" s="1" t="s">
        <v>65</v>
      </c>
      <c r="Z45" t="s">
        <v>85</v>
      </c>
      <c r="AA45" t="s">
        <v>47</v>
      </c>
      <c r="AB45" t="s">
        <v>89</v>
      </c>
      <c r="AC45" s="6" t="s">
        <v>86</v>
      </c>
      <c r="AD45" s="6" t="s">
        <v>87</v>
      </c>
      <c r="AE45" s="1" t="s">
        <v>66</v>
      </c>
      <c r="AF45" t="s">
        <v>85</v>
      </c>
      <c r="AG45" t="s">
        <v>47</v>
      </c>
      <c r="AH45" t="s">
        <v>89</v>
      </c>
      <c r="AI45" s="6" t="s">
        <v>86</v>
      </c>
      <c r="AJ45" s="6" t="s">
        <v>87</v>
      </c>
      <c r="AK45" s="1" t="s">
        <v>67</v>
      </c>
      <c r="AL45" t="s">
        <v>85</v>
      </c>
      <c r="AM45" t="s">
        <v>47</v>
      </c>
      <c r="AN45" t="s">
        <v>89</v>
      </c>
      <c r="AO45" s="6" t="s">
        <v>86</v>
      </c>
      <c r="AP45" s="6" t="s">
        <v>87</v>
      </c>
      <c r="AQ45" s="1" t="s">
        <v>68</v>
      </c>
      <c r="AR45" s="6" t="s">
        <v>85</v>
      </c>
      <c r="AS45" t="s">
        <v>47</v>
      </c>
      <c r="AT45" t="s">
        <v>89</v>
      </c>
      <c r="AU45" s="6" t="s">
        <v>86</v>
      </c>
      <c r="AV45" s="6" t="s">
        <v>87</v>
      </c>
      <c r="AW45" s="1" t="s">
        <v>69</v>
      </c>
      <c r="AX45" s="6" t="s">
        <v>85</v>
      </c>
      <c r="AY45" t="s">
        <v>47</v>
      </c>
      <c r="AZ45" t="s">
        <v>89</v>
      </c>
      <c r="BA45" s="6" t="s">
        <v>86</v>
      </c>
      <c r="BB45" s="6" t="s">
        <v>87</v>
      </c>
    </row>
    <row r="46" spans="1:54" x14ac:dyDescent="0.2">
      <c r="A46" t="s">
        <v>6</v>
      </c>
      <c r="B46" t="s">
        <v>7</v>
      </c>
      <c r="C46">
        <v>202504447</v>
      </c>
      <c r="D46">
        <v>28</v>
      </c>
      <c r="E46" t="s">
        <v>8</v>
      </c>
      <c r="F46" s="2">
        <v>40.070999999999998</v>
      </c>
      <c r="G46">
        <v>39.549999999999997</v>
      </c>
      <c r="I46">
        <v>37.25</v>
      </c>
      <c r="J46">
        <f>ABS(F46-G46)</f>
        <v>0.5210000000000008</v>
      </c>
      <c r="K46">
        <f>ABS(F46-I46)</f>
        <v>2.820999999999998</v>
      </c>
      <c r="M46" s="2">
        <v>44.34</v>
      </c>
      <c r="N46">
        <v>43.874000000000002</v>
      </c>
      <c r="P46">
        <v>40.963000000000001</v>
      </c>
      <c r="Q46">
        <f>ABS(M46-N46)</f>
        <v>0.46600000000000108</v>
      </c>
      <c r="R46">
        <f>ABS(M46-P46)</f>
        <v>3.3770000000000024</v>
      </c>
      <c r="S46" s="2">
        <v>51.082999999999998</v>
      </c>
      <c r="T46">
        <v>51.386000000000003</v>
      </c>
      <c r="V46">
        <v>46.06</v>
      </c>
      <c r="W46">
        <f>ABS(S46-T46)</f>
        <v>0.30300000000000438</v>
      </c>
      <c r="X46">
        <f>ABS(S46-V46)</f>
        <v>5.0229999999999961</v>
      </c>
      <c r="Y46" s="2">
        <v>57.109000000000002</v>
      </c>
      <c r="Z46">
        <v>57.956000000000003</v>
      </c>
      <c r="AB46">
        <v>49.430999999999997</v>
      </c>
      <c r="AC46">
        <f>ABS(Y46-Z46)</f>
        <v>0.84700000000000131</v>
      </c>
      <c r="AD46">
        <f>ABS(Y46-AB46)</f>
        <v>7.6780000000000044</v>
      </c>
      <c r="AE46" s="2"/>
      <c r="AK46" s="2">
        <v>59.503</v>
      </c>
      <c r="AL46">
        <v>61.956000000000003</v>
      </c>
      <c r="AN46">
        <v>66.459999999999994</v>
      </c>
      <c r="AO46">
        <f>ABS(AK46-AL46)</f>
        <v>2.453000000000003</v>
      </c>
      <c r="AP46">
        <f>ABS(AK46-AN46)</f>
        <v>6.9569999999999936</v>
      </c>
      <c r="AQ46" s="2">
        <v>65.712000000000003</v>
      </c>
      <c r="AR46">
        <v>65.454999999999998</v>
      </c>
      <c r="AT46">
        <v>69.679000000000002</v>
      </c>
      <c r="AU46">
        <f>ABS(AQ46-AR46)</f>
        <v>0.257000000000005</v>
      </c>
      <c r="AV46">
        <f>ABS(AQ46-AT46)</f>
        <v>3.9669999999999987</v>
      </c>
      <c r="AW46" s="2"/>
    </row>
    <row r="47" spans="1:54" x14ac:dyDescent="0.2">
      <c r="A47" t="s">
        <v>9</v>
      </c>
      <c r="B47" t="s">
        <v>10</v>
      </c>
      <c r="C47">
        <v>202505770</v>
      </c>
      <c r="D47">
        <v>56</v>
      </c>
      <c r="E47" t="s">
        <v>8</v>
      </c>
      <c r="F47" s="2">
        <v>12.468</v>
      </c>
      <c r="G47">
        <v>13.69</v>
      </c>
      <c r="I47">
        <v>13.428000000000001</v>
      </c>
      <c r="J47">
        <f t="shared" ref="J47:J61" si="18">ABS(F47-G47)</f>
        <v>1.2219999999999995</v>
      </c>
      <c r="K47">
        <f t="shared" ref="K47:K61" si="19">ABS(F47-I47)</f>
        <v>0.96000000000000085</v>
      </c>
      <c r="M47" s="2">
        <v>13.047000000000001</v>
      </c>
      <c r="N47">
        <v>14.141999999999999</v>
      </c>
      <c r="P47">
        <v>13.975</v>
      </c>
      <c r="Q47">
        <f t="shared" ref="Q47:Q81" si="20">ABS(M47-N47)</f>
        <v>1.0949999999999989</v>
      </c>
      <c r="R47">
        <f t="shared" ref="R47:R81" si="21">ABS(M47-P47)</f>
        <v>0.92799999999999905</v>
      </c>
      <c r="S47" s="2">
        <v>13.836</v>
      </c>
      <c r="T47">
        <v>15.250999999999999</v>
      </c>
      <c r="V47">
        <v>15.138999999999999</v>
      </c>
      <c r="W47">
        <f t="shared" ref="W47:W81" si="22">ABS(S47-T47)</f>
        <v>1.4149999999999991</v>
      </c>
      <c r="X47">
        <f t="shared" ref="X47:X81" si="23">ABS(S47-V47)</f>
        <v>1.302999999999999</v>
      </c>
      <c r="Y47" s="2">
        <v>15.978999999999999</v>
      </c>
      <c r="Z47">
        <v>16.553999999999998</v>
      </c>
      <c r="AB47">
        <v>16.486000000000001</v>
      </c>
      <c r="AC47">
        <f t="shared" ref="AC47:AC81" si="24">ABS(Y47-Z47)</f>
        <v>0.57499999999999929</v>
      </c>
      <c r="AD47">
        <f t="shared" ref="AD47:AD60" si="25">ABS(Y47-AB47)</f>
        <v>0.50700000000000145</v>
      </c>
      <c r="AE47" s="2">
        <v>17.277000000000001</v>
      </c>
      <c r="AF47">
        <v>18.055</v>
      </c>
      <c r="AH47">
        <v>18.018999999999998</v>
      </c>
      <c r="AI47">
        <f>ABS(AE47-AF47)</f>
        <v>0.77799999999999869</v>
      </c>
      <c r="AJ47">
        <f>ABS(AE47-AH47)</f>
        <v>0.74199999999999733</v>
      </c>
      <c r="AK47" s="2">
        <v>21.151</v>
      </c>
      <c r="AL47">
        <v>21.844999999999999</v>
      </c>
      <c r="AN47">
        <v>20.303000000000001</v>
      </c>
      <c r="AO47">
        <f t="shared" ref="AO47:AO81" si="26">ABS(AK47-AL47)</f>
        <v>0.69399999999999906</v>
      </c>
      <c r="AP47">
        <f t="shared" ref="AP47:AP81" si="27">ABS(AK47-AN47)</f>
        <v>0.84799999999999898</v>
      </c>
      <c r="AQ47" s="2">
        <v>25.655000000000001</v>
      </c>
      <c r="AR47">
        <v>28.907</v>
      </c>
      <c r="AT47">
        <v>25.597999999999999</v>
      </c>
      <c r="AU47">
        <f t="shared" ref="AU47:AU81" si="28">ABS(AQ47-AR47)</f>
        <v>3.2519999999999989</v>
      </c>
      <c r="AV47">
        <f t="shared" ref="AV47:AV80" si="29">ABS(AQ47-AT47)</f>
        <v>5.700000000000216E-2</v>
      </c>
      <c r="AW47" s="2"/>
    </row>
    <row r="48" spans="1:54" x14ac:dyDescent="0.2">
      <c r="A48" t="s">
        <v>11</v>
      </c>
      <c r="B48" t="s">
        <v>12</v>
      </c>
      <c r="C48">
        <v>202506191</v>
      </c>
      <c r="D48">
        <v>44</v>
      </c>
      <c r="E48" t="s">
        <v>8</v>
      </c>
      <c r="F48" s="2">
        <v>17.785</v>
      </c>
      <c r="G48">
        <v>18.082999999999998</v>
      </c>
      <c r="I48">
        <v>18.12</v>
      </c>
      <c r="J48">
        <f t="shared" si="18"/>
        <v>0.29799999999999827</v>
      </c>
      <c r="K48">
        <f t="shared" si="19"/>
        <v>0.33500000000000085</v>
      </c>
      <c r="M48" s="2">
        <v>17.119</v>
      </c>
      <c r="N48">
        <v>17.454999999999998</v>
      </c>
      <c r="P48">
        <v>17.190999999999999</v>
      </c>
      <c r="Q48">
        <f t="shared" si="20"/>
        <v>0.33599999999999852</v>
      </c>
      <c r="R48">
        <f t="shared" si="21"/>
        <v>7.1999999999999176E-2</v>
      </c>
      <c r="S48" s="2">
        <v>16.635999999999999</v>
      </c>
      <c r="T48">
        <v>17.181999999999999</v>
      </c>
      <c r="V48">
        <v>16.687000000000001</v>
      </c>
      <c r="W48">
        <f t="shared" si="22"/>
        <v>0.54599999999999937</v>
      </c>
      <c r="X48">
        <f t="shared" si="23"/>
        <v>5.1000000000001933E-2</v>
      </c>
      <c r="Y48" s="2">
        <v>17.46</v>
      </c>
      <c r="Z48">
        <v>17.896000000000001</v>
      </c>
      <c r="AB48">
        <v>17.484000000000002</v>
      </c>
      <c r="AC48">
        <f t="shared" si="24"/>
        <v>0.43599999999999994</v>
      </c>
      <c r="AD48">
        <f t="shared" si="25"/>
        <v>2.4000000000000909E-2</v>
      </c>
      <c r="AE48" s="2">
        <v>18.154</v>
      </c>
      <c r="AF48">
        <v>18.873999999999999</v>
      </c>
      <c r="AH48">
        <v>18.632999999999999</v>
      </c>
      <c r="AI48">
        <f t="shared" ref="AI48:AI81" si="30">ABS(AE48-AF48)</f>
        <v>0.71999999999999886</v>
      </c>
      <c r="AJ48">
        <f t="shared" ref="AJ48:AJ81" si="31">ABS(AE48-AH48)</f>
        <v>0.4789999999999992</v>
      </c>
      <c r="AK48" s="2">
        <v>20.928000000000001</v>
      </c>
      <c r="AL48">
        <v>20.826000000000001</v>
      </c>
      <c r="AN48">
        <v>20.501000000000001</v>
      </c>
      <c r="AO48">
        <f t="shared" si="26"/>
        <v>0.10200000000000031</v>
      </c>
      <c r="AP48">
        <f t="shared" si="27"/>
        <v>0.4269999999999996</v>
      </c>
      <c r="AQ48" s="2">
        <v>28.084</v>
      </c>
      <c r="AR48">
        <v>28.18</v>
      </c>
      <c r="AT48">
        <v>25.873999999999999</v>
      </c>
      <c r="AU48">
        <f t="shared" si="28"/>
        <v>9.6000000000000085E-2</v>
      </c>
      <c r="AV48">
        <f t="shared" si="29"/>
        <v>2.2100000000000009</v>
      </c>
      <c r="AW48" s="2"/>
    </row>
    <row r="49" spans="1:54" x14ac:dyDescent="0.2">
      <c r="A49" t="s">
        <v>13</v>
      </c>
      <c r="B49" t="s">
        <v>14</v>
      </c>
      <c r="C49">
        <v>202504764</v>
      </c>
      <c r="D49">
        <v>29</v>
      </c>
      <c r="E49" t="s">
        <v>8</v>
      </c>
      <c r="F49" s="2">
        <v>8.0399999999999991</v>
      </c>
      <c r="G49">
        <v>8.0210000000000008</v>
      </c>
      <c r="I49">
        <v>7.87</v>
      </c>
      <c r="J49">
        <f t="shared" si="18"/>
        <v>1.8999999999998352E-2</v>
      </c>
      <c r="K49">
        <f t="shared" si="19"/>
        <v>0.16999999999999904</v>
      </c>
      <c r="M49" s="2">
        <v>8.0850000000000009</v>
      </c>
      <c r="N49">
        <v>8.4740000000000002</v>
      </c>
      <c r="P49">
        <v>8.3569999999999993</v>
      </c>
      <c r="Q49">
        <f t="shared" si="20"/>
        <v>0.38899999999999935</v>
      </c>
      <c r="R49">
        <f t="shared" si="21"/>
        <v>0.27199999999999847</v>
      </c>
      <c r="S49" s="2">
        <v>9.0090000000000003</v>
      </c>
      <c r="T49">
        <v>9.42</v>
      </c>
      <c r="V49">
        <v>9.3339999999999996</v>
      </c>
      <c r="W49">
        <f t="shared" si="22"/>
        <v>0.41099999999999959</v>
      </c>
      <c r="X49">
        <f t="shared" si="23"/>
        <v>0.32499999999999929</v>
      </c>
      <c r="Y49" s="2">
        <v>9.7390000000000008</v>
      </c>
      <c r="Z49">
        <v>9.6850000000000005</v>
      </c>
      <c r="AB49">
        <v>10.013999999999999</v>
      </c>
      <c r="AC49">
        <f t="shared" si="24"/>
        <v>5.400000000000027E-2</v>
      </c>
      <c r="AD49">
        <f t="shared" si="25"/>
        <v>0.27499999999999858</v>
      </c>
      <c r="AE49" s="2">
        <v>10.946999999999999</v>
      </c>
      <c r="AF49">
        <v>10.778</v>
      </c>
      <c r="AH49">
        <v>10.654999999999999</v>
      </c>
      <c r="AI49">
        <f t="shared" si="30"/>
        <v>0.16899999999999871</v>
      </c>
      <c r="AJ49">
        <f t="shared" si="31"/>
        <v>0.29199999999999982</v>
      </c>
      <c r="AK49" s="2">
        <v>13.167999999999999</v>
      </c>
      <c r="AL49">
        <v>13.625999999999999</v>
      </c>
      <c r="AN49">
        <v>12.574999999999999</v>
      </c>
      <c r="AO49">
        <f t="shared" si="26"/>
        <v>0.45800000000000018</v>
      </c>
      <c r="AP49">
        <f t="shared" si="27"/>
        <v>0.59299999999999997</v>
      </c>
      <c r="AQ49" s="2"/>
      <c r="AW49" s="2"/>
    </row>
    <row r="50" spans="1:54" x14ac:dyDescent="0.2">
      <c r="A50" t="s">
        <v>15</v>
      </c>
      <c r="B50" t="s">
        <v>16</v>
      </c>
      <c r="C50">
        <v>202506605</v>
      </c>
      <c r="D50">
        <v>69</v>
      </c>
      <c r="E50" t="s">
        <v>8</v>
      </c>
      <c r="F50" s="2">
        <v>16.062000000000001</v>
      </c>
      <c r="G50">
        <v>18.047000000000001</v>
      </c>
      <c r="I50">
        <v>17.931000000000001</v>
      </c>
      <c r="J50">
        <f t="shared" si="18"/>
        <v>1.9849999999999994</v>
      </c>
      <c r="K50">
        <f t="shared" si="19"/>
        <v>1.8689999999999998</v>
      </c>
      <c r="M50" s="2">
        <v>14.647</v>
      </c>
      <c r="N50">
        <v>15.994</v>
      </c>
      <c r="P50">
        <v>16.244</v>
      </c>
      <c r="Q50">
        <f t="shared" si="20"/>
        <v>1.3469999999999995</v>
      </c>
      <c r="R50">
        <f t="shared" si="21"/>
        <v>1.5969999999999995</v>
      </c>
      <c r="S50" s="2">
        <v>14.442</v>
      </c>
      <c r="T50">
        <v>15.487</v>
      </c>
      <c r="V50">
        <v>15.276999999999999</v>
      </c>
      <c r="W50">
        <f t="shared" si="22"/>
        <v>1.0449999999999999</v>
      </c>
      <c r="X50">
        <f t="shared" si="23"/>
        <v>0.83499999999999908</v>
      </c>
      <c r="Y50" s="2">
        <v>15.676</v>
      </c>
      <c r="Z50">
        <v>16.021999999999998</v>
      </c>
      <c r="AB50">
        <v>15.244999999999999</v>
      </c>
      <c r="AC50">
        <f t="shared" si="24"/>
        <v>0.34599999999999831</v>
      </c>
      <c r="AD50">
        <f t="shared" si="25"/>
        <v>0.43100000000000094</v>
      </c>
      <c r="AE50" s="2">
        <v>24.597000000000001</v>
      </c>
      <c r="AF50">
        <v>26.890999999999998</v>
      </c>
      <c r="AH50">
        <v>24.221</v>
      </c>
      <c r="AI50">
        <f t="shared" si="30"/>
        <v>2.2939999999999969</v>
      </c>
      <c r="AJ50">
        <f t="shared" si="31"/>
        <v>0.37600000000000122</v>
      </c>
      <c r="AK50" s="2"/>
      <c r="AQ50" s="2"/>
      <c r="AW50" s="2">
        <v>40.162999999999997</v>
      </c>
      <c r="AX50">
        <v>40.734999999999999</v>
      </c>
      <c r="AZ50">
        <v>45.71</v>
      </c>
      <c r="BA50">
        <f>ABS(AW50-AX50)</f>
        <v>0.57200000000000273</v>
      </c>
      <c r="BB50">
        <f>ABS(AW50-AZ50)</f>
        <v>5.5470000000000041</v>
      </c>
    </row>
    <row r="51" spans="1:54" x14ac:dyDescent="0.2">
      <c r="A51" t="s">
        <v>17</v>
      </c>
      <c r="B51" t="s">
        <v>18</v>
      </c>
      <c r="C51">
        <v>202506703</v>
      </c>
      <c r="D51">
        <v>49</v>
      </c>
      <c r="E51" t="s">
        <v>19</v>
      </c>
      <c r="F51" s="2">
        <v>8.3239999999999998</v>
      </c>
      <c r="G51">
        <v>8.3940000000000001</v>
      </c>
      <c r="I51">
        <v>8.2609999999999992</v>
      </c>
      <c r="J51">
        <f t="shared" si="18"/>
        <v>7.0000000000000284E-2</v>
      </c>
      <c r="K51">
        <f t="shared" si="19"/>
        <v>6.3000000000000611E-2</v>
      </c>
      <c r="M51" s="2">
        <v>8.6999999999999993</v>
      </c>
      <c r="N51">
        <v>8.82</v>
      </c>
      <c r="P51">
        <v>8.9250000000000007</v>
      </c>
      <c r="Q51">
        <f t="shared" si="20"/>
        <v>0.12000000000000099</v>
      </c>
      <c r="R51">
        <f t="shared" si="21"/>
        <v>0.22500000000000142</v>
      </c>
      <c r="S51" s="2">
        <v>9.5299999999999994</v>
      </c>
      <c r="T51">
        <v>10.619</v>
      </c>
      <c r="V51">
        <v>10.666</v>
      </c>
      <c r="W51">
        <f t="shared" si="22"/>
        <v>1.0890000000000004</v>
      </c>
      <c r="X51">
        <f t="shared" si="23"/>
        <v>1.136000000000001</v>
      </c>
      <c r="Y51" s="2">
        <v>12.03</v>
      </c>
      <c r="Z51">
        <v>13.106999999999999</v>
      </c>
      <c r="AB51">
        <v>13.089</v>
      </c>
      <c r="AC51">
        <f t="shared" si="24"/>
        <v>1.077</v>
      </c>
      <c r="AD51">
        <f t="shared" si="25"/>
        <v>1.0590000000000011</v>
      </c>
      <c r="AE51" s="2">
        <v>15.489000000000001</v>
      </c>
      <c r="AF51">
        <v>17.036000000000001</v>
      </c>
      <c r="AH51">
        <v>16.844000000000001</v>
      </c>
      <c r="AI51">
        <f t="shared" si="30"/>
        <v>1.5470000000000006</v>
      </c>
      <c r="AJ51">
        <f t="shared" si="31"/>
        <v>1.3550000000000004</v>
      </c>
      <c r="AK51" s="2"/>
      <c r="AQ51" s="2"/>
      <c r="AW51" s="2">
        <v>36.944000000000003</v>
      </c>
      <c r="AX51">
        <v>38.770000000000003</v>
      </c>
      <c r="AZ51">
        <v>49.927</v>
      </c>
      <c r="BA51">
        <f t="shared" ref="BA51:BA78" si="32">ABS(AW51-AX51)</f>
        <v>1.8260000000000005</v>
      </c>
      <c r="BB51">
        <f t="shared" ref="BB51:BB78" si="33">ABS(AW51-AZ51)</f>
        <v>12.982999999999997</v>
      </c>
    </row>
    <row r="52" spans="1:54" x14ac:dyDescent="0.2">
      <c r="A52" t="s">
        <v>20</v>
      </c>
      <c r="B52" t="s">
        <v>21</v>
      </c>
      <c r="C52">
        <v>202504308</v>
      </c>
      <c r="D52">
        <v>61</v>
      </c>
      <c r="E52" t="s">
        <v>8</v>
      </c>
      <c r="F52" s="2"/>
      <c r="M52" s="2"/>
      <c r="S52" s="2"/>
      <c r="Y52" s="2"/>
      <c r="AE52" s="2"/>
      <c r="AK52" s="2"/>
      <c r="AQ52" s="2">
        <v>42.165999999999997</v>
      </c>
      <c r="AR52">
        <v>51.738999999999997</v>
      </c>
      <c r="AT52">
        <v>47.655000000000001</v>
      </c>
      <c r="AU52">
        <f t="shared" si="28"/>
        <v>9.5730000000000004</v>
      </c>
      <c r="AV52">
        <f t="shared" si="29"/>
        <v>5.4890000000000043</v>
      </c>
      <c r="AW52" s="2">
        <v>31.728999999999999</v>
      </c>
      <c r="AX52">
        <v>34.759</v>
      </c>
      <c r="AZ52">
        <v>53.177999999999997</v>
      </c>
      <c r="BA52">
        <f t="shared" si="32"/>
        <v>3.0300000000000011</v>
      </c>
      <c r="BB52">
        <f t="shared" si="33"/>
        <v>21.448999999999998</v>
      </c>
    </row>
    <row r="53" spans="1:54" x14ac:dyDescent="0.2">
      <c r="A53" t="s">
        <v>22</v>
      </c>
      <c r="B53" t="s">
        <v>23</v>
      </c>
      <c r="C53">
        <v>202505010</v>
      </c>
      <c r="D53">
        <v>52</v>
      </c>
      <c r="E53" t="s">
        <v>8</v>
      </c>
      <c r="F53" s="2">
        <v>29.251000000000001</v>
      </c>
      <c r="G53">
        <v>29.795999999999999</v>
      </c>
      <c r="I53">
        <v>28.221</v>
      </c>
      <c r="J53">
        <f t="shared" si="18"/>
        <v>0.54499999999999815</v>
      </c>
      <c r="K53">
        <f t="shared" si="19"/>
        <v>1.0300000000000011</v>
      </c>
      <c r="M53" s="2">
        <v>32.103000000000002</v>
      </c>
      <c r="N53">
        <v>31.96</v>
      </c>
      <c r="P53">
        <v>30.245000000000001</v>
      </c>
      <c r="Q53">
        <f t="shared" si="20"/>
        <v>0.14300000000000068</v>
      </c>
      <c r="R53">
        <f t="shared" si="21"/>
        <v>1.8580000000000005</v>
      </c>
      <c r="S53" s="2">
        <v>35.020000000000003</v>
      </c>
      <c r="T53">
        <v>37.347999999999999</v>
      </c>
      <c r="V53">
        <v>33.756</v>
      </c>
      <c r="W53">
        <f t="shared" si="22"/>
        <v>2.3279999999999959</v>
      </c>
      <c r="X53">
        <f t="shared" si="23"/>
        <v>1.2640000000000029</v>
      </c>
      <c r="Y53" s="2">
        <v>44.2</v>
      </c>
      <c r="Z53">
        <v>47.131999999999998</v>
      </c>
      <c r="AB53">
        <v>43.694000000000003</v>
      </c>
      <c r="AC53">
        <f t="shared" si="24"/>
        <v>2.9319999999999951</v>
      </c>
      <c r="AD53">
        <f t="shared" si="25"/>
        <v>0.50600000000000023</v>
      </c>
      <c r="AE53" s="2">
        <v>57.241</v>
      </c>
      <c r="AF53">
        <v>61.673999999999999</v>
      </c>
      <c r="AH53">
        <v>59.012</v>
      </c>
      <c r="AI53">
        <f t="shared" si="30"/>
        <v>4.4329999999999998</v>
      </c>
      <c r="AJ53">
        <f t="shared" si="31"/>
        <v>1.7710000000000008</v>
      </c>
      <c r="AK53" s="2"/>
      <c r="AQ53" s="2"/>
      <c r="AW53" s="2"/>
    </row>
    <row r="54" spans="1:54" x14ac:dyDescent="0.2">
      <c r="A54" t="s">
        <v>24</v>
      </c>
      <c r="B54" t="s">
        <v>25</v>
      </c>
      <c r="C54">
        <v>202503802</v>
      </c>
      <c r="D54">
        <v>47</v>
      </c>
      <c r="E54" t="s">
        <v>19</v>
      </c>
      <c r="F54" s="2">
        <v>14.731</v>
      </c>
      <c r="G54">
        <v>15.335000000000001</v>
      </c>
      <c r="I54">
        <v>14.343999999999999</v>
      </c>
      <c r="J54">
        <f t="shared" si="18"/>
        <v>0.60400000000000098</v>
      </c>
      <c r="K54">
        <f t="shared" si="19"/>
        <v>0.38700000000000045</v>
      </c>
      <c r="M54" s="2">
        <v>14.228</v>
      </c>
      <c r="N54">
        <v>14.888</v>
      </c>
      <c r="P54">
        <v>13.97</v>
      </c>
      <c r="Q54">
        <f t="shared" si="20"/>
        <v>0.66000000000000014</v>
      </c>
      <c r="R54">
        <f t="shared" si="21"/>
        <v>0.25799999999999912</v>
      </c>
      <c r="S54" s="2">
        <v>13.853999999999999</v>
      </c>
      <c r="T54">
        <v>14.318</v>
      </c>
      <c r="V54">
        <v>13.571999999999999</v>
      </c>
      <c r="W54">
        <f t="shared" si="22"/>
        <v>0.46400000000000041</v>
      </c>
      <c r="X54">
        <f t="shared" si="23"/>
        <v>0.28200000000000003</v>
      </c>
      <c r="Y54" s="2">
        <v>13.83</v>
      </c>
      <c r="Z54">
        <v>14.903</v>
      </c>
      <c r="AB54">
        <v>14.169</v>
      </c>
      <c r="AC54">
        <f t="shared" si="24"/>
        <v>1.0730000000000004</v>
      </c>
      <c r="AD54">
        <f t="shared" si="25"/>
        <v>0.33900000000000041</v>
      </c>
      <c r="AE54" s="2">
        <v>14.026</v>
      </c>
      <c r="AF54">
        <v>15.242000000000001</v>
      </c>
      <c r="AH54">
        <v>14.932</v>
      </c>
      <c r="AI54">
        <f t="shared" si="30"/>
        <v>1.2160000000000011</v>
      </c>
      <c r="AJ54">
        <f t="shared" si="31"/>
        <v>0.90600000000000058</v>
      </c>
      <c r="AK54" s="2">
        <v>12.946999999999999</v>
      </c>
      <c r="AL54">
        <v>13.042999999999999</v>
      </c>
      <c r="AN54">
        <v>14.699</v>
      </c>
      <c r="AO54">
        <f t="shared" si="26"/>
        <v>9.6000000000000085E-2</v>
      </c>
      <c r="AP54">
        <f t="shared" si="27"/>
        <v>1.7520000000000007</v>
      </c>
      <c r="AQ54" s="2">
        <v>12.497</v>
      </c>
      <c r="AR54">
        <v>12.667999999999999</v>
      </c>
      <c r="AT54">
        <v>13.866</v>
      </c>
      <c r="AU54">
        <f t="shared" si="28"/>
        <v>0.17099999999999937</v>
      </c>
      <c r="AV54">
        <f t="shared" si="29"/>
        <v>1.3689999999999998</v>
      </c>
      <c r="AW54" s="2">
        <v>12.73</v>
      </c>
      <c r="AX54">
        <v>12.694000000000001</v>
      </c>
      <c r="AZ54">
        <v>14.013999999999999</v>
      </c>
      <c r="BA54">
        <f t="shared" si="32"/>
        <v>3.5999999999999588E-2</v>
      </c>
      <c r="BB54">
        <f t="shared" si="33"/>
        <v>1.2839999999999989</v>
      </c>
    </row>
    <row r="55" spans="1:54" x14ac:dyDescent="0.2">
      <c r="A55" t="s">
        <v>26</v>
      </c>
      <c r="B55" t="s">
        <v>27</v>
      </c>
      <c r="C55" t="s">
        <v>28</v>
      </c>
      <c r="D55">
        <v>73</v>
      </c>
      <c r="E55" t="s">
        <v>19</v>
      </c>
      <c r="F55" s="2">
        <v>4.9320000000000004</v>
      </c>
      <c r="G55">
        <v>4.9939999999999998</v>
      </c>
      <c r="I55">
        <v>4.843</v>
      </c>
      <c r="J55">
        <f t="shared" si="18"/>
        <v>6.1999999999999389E-2</v>
      </c>
      <c r="K55">
        <f t="shared" si="19"/>
        <v>8.9000000000000412E-2</v>
      </c>
      <c r="M55" s="2">
        <v>5.2430000000000003</v>
      </c>
      <c r="N55">
        <v>5.2960000000000003</v>
      </c>
      <c r="P55">
        <v>5.1150000000000002</v>
      </c>
      <c r="Q55">
        <f t="shared" si="20"/>
        <v>5.2999999999999936E-2</v>
      </c>
      <c r="R55">
        <f t="shared" si="21"/>
        <v>0.12800000000000011</v>
      </c>
      <c r="S55" s="2">
        <v>5.6669999999999998</v>
      </c>
      <c r="T55">
        <v>5.7480000000000002</v>
      </c>
      <c r="V55">
        <v>5.5090000000000003</v>
      </c>
      <c r="W55">
        <f t="shared" si="22"/>
        <v>8.1000000000000405E-2</v>
      </c>
      <c r="X55">
        <f t="shared" si="23"/>
        <v>0.15799999999999947</v>
      </c>
      <c r="Y55" s="2">
        <v>5.7119999999999997</v>
      </c>
      <c r="Z55">
        <v>5.7080000000000002</v>
      </c>
      <c r="AB55">
        <v>5.66</v>
      </c>
      <c r="AC55">
        <f t="shared" si="24"/>
        <v>3.9999999999995595E-3</v>
      </c>
      <c r="AD55">
        <f t="shared" si="25"/>
        <v>5.1999999999999602E-2</v>
      </c>
      <c r="AE55" s="2">
        <v>5.1509999999999998</v>
      </c>
      <c r="AF55">
        <v>5.3559999999999999</v>
      </c>
      <c r="AH55">
        <v>5.319</v>
      </c>
      <c r="AI55">
        <f t="shared" si="30"/>
        <v>0.20500000000000007</v>
      </c>
      <c r="AJ55">
        <f t="shared" si="31"/>
        <v>0.16800000000000015</v>
      </c>
      <c r="AK55" s="2"/>
      <c r="AQ55" s="2">
        <v>5.2519999999999998</v>
      </c>
      <c r="AR55">
        <v>5.1459999999999999</v>
      </c>
      <c r="AT55">
        <v>5.2430000000000003</v>
      </c>
      <c r="AU55">
        <f t="shared" si="28"/>
        <v>0.10599999999999987</v>
      </c>
      <c r="AV55">
        <f t="shared" si="29"/>
        <v>8.9999999999994529E-3</v>
      </c>
      <c r="AW55" s="2">
        <v>6.0170000000000003</v>
      </c>
      <c r="AX55">
        <v>5.41</v>
      </c>
      <c r="AZ55">
        <v>4.8250000000000002</v>
      </c>
      <c r="BA55">
        <f t="shared" si="32"/>
        <v>0.60700000000000021</v>
      </c>
      <c r="BB55">
        <f t="shared" si="33"/>
        <v>1.1920000000000002</v>
      </c>
    </row>
    <row r="56" spans="1:54" x14ac:dyDescent="0.2">
      <c r="A56" t="s">
        <v>29</v>
      </c>
      <c r="B56" t="s">
        <v>30</v>
      </c>
      <c r="C56" t="s">
        <v>31</v>
      </c>
      <c r="D56">
        <v>73</v>
      </c>
      <c r="E56" t="s">
        <v>8</v>
      </c>
      <c r="F56" s="2">
        <v>27.89</v>
      </c>
      <c r="G56">
        <v>28.431999999999999</v>
      </c>
      <c r="I56">
        <v>27.785</v>
      </c>
      <c r="J56">
        <f t="shared" si="18"/>
        <v>0.54199999999999804</v>
      </c>
      <c r="K56">
        <f t="shared" si="19"/>
        <v>0.10500000000000043</v>
      </c>
      <c r="M56" s="2">
        <v>29.407</v>
      </c>
      <c r="N56">
        <v>30</v>
      </c>
      <c r="P56">
        <v>29.158999999999999</v>
      </c>
      <c r="Q56">
        <f t="shared" si="20"/>
        <v>0.59299999999999997</v>
      </c>
      <c r="R56">
        <f t="shared" si="21"/>
        <v>0.24800000000000111</v>
      </c>
      <c r="S56" s="2">
        <v>31.856000000000002</v>
      </c>
      <c r="T56">
        <v>33.082999999999998</v>
      </c>
      <c r="V56">
        <v>31.477</v>
      </c>
      <c r="W56">
        <f t="shared" si="22"/>
        <v>1.2269999999999968</v>
      </c>
      <c r="X56">
        <f t="shared" si="23"/>
        <v>0.37900000000000134</v>
      </c>
      <c r="Y56" s="2">
        <v>36.99</v>
      </c>
      <c r="Z56">
        <v>38.405999999999999</v>
      </c>
      <c r="AB56">
        <v>36.880000000000003</v>
      </c>
      <c r="AC56">
        <f t="shared" si="24"/>
        <v>1.4159999999999968</v>
      </c>
      <c r="AD56">
        <f t="shared" si="25"/>
        <v>0.10999999999999943</v>
      </c>
      <c r="AE56" s="2">
        <v>45.058</v>
      </c>
      <c r="AF56">
        <v>47.180999999999997</v>
      </c>
      <c r="AH56">
        <v>44.917000000000002</v>
      </c>
      <c r="AI56">
        <f t="shared" si="30"/>
        <v>2.1229999999999976</v>
      </c>
      <c r="AJ56">
        <f t="shared" si="31"/>
        <v>0.14099999999999824</v>
      </c>
      <c r="AK56" s="2"/>
      <c r="AQ56" s="2"/>
      <c r="AW56" s="2"/>
    </row>
    <row r="57" spans="1:54" x14ac:dyDescent="0.2">
      <c r="A57" t="s">
        <v>32</v>
      </c>
      <c r="B57" t="s">
        <v>33</v>
      </c>
      <c r="C57" t="s">
        <v>34</v>
      </c>
      <c r="D57">
        <v>65</v>
      </c>
      <c r="E57" t="s">
        <v>8</v>
      </c>
      <c r="F57" s="2">
        <v>8.0399999999999991</v>
      </c>
      <c r="G57">
        <v>7.3929999999999998</v>
      </c>
      <c r="I57">
        <v>7.3070000000000004</v>
      </c>
      <c r="J57">
        <f t="shared" si="18"/>
        <v>0.64699999999999935</v>
      </c>
      <c r="K57">
        <f t="shared" si="19"/>
        <v>0.73299999999999876</v>
      </c>
      <c r="M57" s="2">
        <v>7.8</v>
      </c>
      <c r="N57">
        <v>7.5090000000000003</v>
      </c>
      <c r="P57">
        <v>7.6109999999999998</v>
      </c>
      <c r="Q57">
        <f t="shared" si="20"/>
        <v>0.29099999999999948</v>
      </c>
      <c r="R57">
        <f t="shared" si="21"/>
        <v>0.18900000000000006</v>
      </c>
      <c r="S57" s="2">
        <v>7.843</v>
      </c>
      <c r="T57">
        <v>8.6750000000000007</v>
      </c>
      <c r="V57">
        <v>8.66</v>
      </c>
      <c r="W57">
        <f t="shared" si="22"/>
        <v>0.83200000000000074</v>
      </c>
      <c r="X57">
        <f t="shared" si="23"/>
        <v>0.81700000000000017</v>
      </c>
      <c r="Y57" s="2">
        <v>7.5990000000000002</v>
      </c>
      <c r="Z57">
        <v>7.9119999999999999</v>
      </c>
      <c r="AB57">
        <v>7.8869999999999996</v>
      </c>
      <c r="AC57">
        <f t="shared" si="24"/>
        <v>0.31299999999999972</v>
      </c>
      <c r="AD57">
        <f t="shared" si="25"/>
        <v>0.28799999999999937</v>
      </c>
      <c r="AE57" s="2">
        <v>7.8680000000000003</v>
      </c>
      <c r="AF57">
        <v>8.2200000000000006</v>
      </c>
      <c r="AH57">
        <v>8.17</v>
      </c>
      <c r="AI57">
        <f t="shared" si="30"/>
        <v>0.35200000000000031</v>
      </c>
      <c r="AJ57">
        <f t="shared" si="31"/>
        <v>0.3019999999999996</v>
      </c>
      <c r="AK57" s="2">
        <v>7.6790000000000003</v>
      </c>
      <c r="AL57">
        <v>7.4480000000000004</v>
      </c>
      <c r="AN57">
        <v>7.7279999999999998</v>
      </c>
      <c r="AO57">
        <f t="shared" si="26"/>
        <v>0.23099999999999987</v>
      </c>
      <c r="AP57">
        <f t="shared" si="27"/>
        <v>4.8999999999999488E-2</v>
      </c>
      <c r="AQ57" s="2">
        <v>7.51</v>
      </c>
      <c r="AR57">
        <v>7.5010000000000003</v>
      </c>
      <c r="AT57">
        <v>7.6420000000000003</v>
      </c>
      <c r="AU57">
        <f t="shared" si="28"/>
        <v>8.9999999999994529E-3</v>
      </c>
      <c r="AV57">
        <f t="shared" si="29"/>
        <v>0.13200000000000056</v>
      </c>
      <c r="AW57" s="2">
        <v>8.1069999999999993</v>
      </c>
      <c r="AX57">
        <v>7.9409999999999998</v>
      </c>
      <c r="AZ57">
        <v>8.8719999999999999</v>
      </c>
      <c r="BA57">
        <f t="shared" si="32"/>
        <v>0.16599999999999948</v>
      </c>
      <c r="BB57">
        <f t="shared" si="33"/>
        <v>0.76500000000000057</v>
      </c>
    </row>
    <row r="58" spans="1:54" x14ac:dyDescent="0.2">
      <c r="A58" t="s">
        <v>35</v>
      </c>
      <c r="B58" t="s">
        <v>36</v>
      </c>
      <c r="C58" t="s">
        <v>37</v>
      </c>
      <c r="D58">
        <v>81</v>
      </c>
      <c r="E58" t="s">
        <v>8</v>
      </c>
      <c r="F58" s="2">
        <v>10.487</v>
      </c>
      <c r="G58">
        <v>10.619</v>
      </c>
      <c r="I58">
        <v>10.664999999999999</v>
      </c>
      <c r="J58">
        <f t="shared" si="18"/>
        <v>0.13199999999999967</v>
      </c>
      <c r="K58">
        <f t="shared" si="19"/>
        <v>0.17799999999999905</v>
      </c>
      <c r="M58" s="2">
        <v>9.8219999999999992</v>
      </c>
      <c r="N58">
        <v>10.048</v>
      </c>
      <c r="P58">
        <v>10.099</v>
      </c>
      <c r="Q58">
        <f t="shared" si="20"/>
        <v>0.22600000000000087</v>
      </c>
      <c r="R58">
        <f t="shared" si="21"/>
        <v>0.27700000000000102</v>
      </c>
      <c r="S58" s="2">
        <v>10.305999999999999</v>
      </c>
      <c r="T58">
        <v>10.414999999999999</v>
      </c>
      <c r="V58">
        <v>10.365</v>
      </c>
      <c r="W58">
        <f t="shared" si="22"/>
        <v>0.10899999999999999</v>
      </c>
      <c r="X58">
        <f t="shared" si="23"/>
        <v>5.9000000000001052E-2</v>
      </c>
      <c r="Y58" s="2">
        <v>9.5069999999999997</v>
      </c>
      <c r="Z58">
        <v>9.7780000000000005</v>
      </c>
      <c r="AB58">
        <v>9.77</v>
      </c>
      <c r="AC58">
        <f t="shared" si="24"/>
        <v>0.2710000000000008</v>
      </c>
      <c r="AD58">
        <f t="shared" si="25"/>
        <v>0.2629999999999999</v>
      </c>
      <c r="AE58" s="2">
        <v>10</v>
      </c>
      <c r="AF58">
        <v>10.771000000000001</v>
      </c>
      <c r="AH58">
        <v>10.605</v>
      </c>
      <c r="AI58">
        <f t="shared" si="30"/>
        <v>0.7710000000000008</v>
      </c>
      <c r="AJ58">
        <f t="shared" si="31"/>
        <v>0.60500000000000043</v>
      </c>
      <c r="AK58" s="2"/>
      <c r="AQ58" s="2">
        <v>10.058</v>
      </c>
      <c r="AR58">
        <v>10.183999999999999</v>
      </c>
      <c r="AT58">
        <v>10.36</v>
      </c>
      <c r="AU58">
        <f t="shared" si="28"/>
        <v>0.12599999999999945</v>
      </c>
      <c r="AV58">
        <f t="shared" si="29"/>
        <v>0.3019999999999996</v>
      </c>
      <c r="AW58" s="2">
        <v>10.156000000000001</v>
      </c>
      <c r="AX58">
        <v>10.502000000000001</v>
      </c>
      <c r="AZ58">
        <v>9.4589999999999996</v>
      </c>
      <c r="BA58">
        <f t="shared" si="32"/>
        <v>0.34600000000000009</v>
      </c>
      <c r="BB58">
        <f t="shared" si="33"/>
        <v>0.69700000000000095</v>
      </c>
    </row>
    <row r="59" spans="1:54" x14ac:dyDescent="0.2">
      <c r="A59" t="s">
        <v>38</v>
      </c>
      <c r="B59" t="s">
        <v>39</v>
      </c>
      <c r="C59" t="s">
        <v>40</v>
      </c>
      <c r="D59">
        <v>64</v>
      </c>
      <c r="E59" t="s">
        <v>19</v>
      </c>
      <c r="F59" s="2">
        <v>9.3789999999999996</v>
      </c>
      <c r="G59">
        <v>10.739000000000001</v>
      </c>
      <c r="I59">
        <v>10.679</v>
      </c>
      <c r="J59">
        <f t="shared" si="18"/>
        <v>1.3600000000000012</v>
      </c>
      <c r="K59">
        <f t="shared" si="19"/>
        <v>1.3000000000000007</v>
      </c>
      <c r="M59" s="2">
        <v>8.57</v>
      </c>
      <c r="N59">
        <v>9.9619999999999997</v>
      </c>
      <c r="P59">
        <v>10.012</v>
      </c>
      <c r="Q59">
        <f t="shared" si="20"/>
        <v>1.3919999999999995</v>
      </c>
      <c r="R59">
        <f t="shared" si="21"/>
        <v>1.4420000000000002</v>
      </c>
      <c r="S59" s="2">
        <v>9.9890000000000008</v>
      </c>
      <c r="T59">
        <v>11.47</v>
      </c>
      <c r="V59">
        <v>11.14</v>
      </c>
      <c r="W59">
        <f t="shared" si="22"/>
        <v>1.4809999999999999</v>
      </c>
      <c r="X59">
        <f t="shared" si="23"/>
        <v>1.1509999999999998</v>
      </c>
      <c r="Y59" s="2">
        <v>11.507999999999999</v>
      </c>
      <c r="Z59">
        <v>12.385</v>
      </c>
      <c r="AB59">
        <v>12.029</v>
      </c>
      <c r="AC59">
        <f t="shared" si="24"/>
        <v>0.87700000000000067</v>
      </c>
      <c r="AD59">
        <f t="shared" si="25"/>
        <v>0.5210000000000008</v>
      </c>
      <c r="AE59" s="2">
        <v>14.951000000000001</v>
      </c>
      <c r="AF59">
        <v>15.372</v>
      </c>
      <c r="AH59">
        <v>14.762</v>
      </c>
      <c r="AI59">
        <f t="shared" si="30"/>
        <v>0.42099999999999937</v>
      </c>
      <c r="AJ59">
        <f t="shared" si="31"/>
        <v>0.18900000000000006</v>
      </c>
      <c r="AK59" s="2">
        <v>19.103999999999999</v>
      </c>
      <c r="AL59">
        <v>19.239999999999998</v>
      </c>
      <c r="AN59">
        <v>18.062000000000001</v>
      </c>
      <c r="AO59">
        <f t="shared" si="26"/>
        <v>0.13599999999999923</v>
      </c>
      <c r="AP59">
        <f t="shared" si="27"/>
        <v>1.041999999999998</v>
      </c>
      <c r="AQ59" s="2">
        <v>25.611000000000001</v>
      </c>
      <c r="AR59">
        <v>26.716000000000001</v>
      </c>
      <c r="AT59">
        <v>22.963000000000001</v>
      </c>
      <c r="AU59">
        <f t="shared" si="28"/>
        <v>1.1050000000000004</v>
      </c>
      <c r="AV59">
        <f t="shared" si="29"/>
        <v>2.6479999999999997</v>
      </c>
      <c r="AW59" s="2"/>
    </row>
    <row r="60" spans="1:54" x14ac:dyDescent="0.2">
      <c r="A60" t="s">
        <v>41</v>
      </c>
      <c r="B60" t="s">
        <v>42</v>
      </c>
      <c r="C60" t="s">
        <v>43</v>
      </c>
      <c r="D60">
        <v>35</v>
      </c>
      <c r="E60" t="s">
        <v>8</v>
      </c>
      <c r="F60" s="2">
        <v>8.9629999999999992</v>
      </c>
      <c r="G60">
        <v>8.7949999999999999</v>
      </c>
      <c r="I60">
        <v>8.3699999999999992</v>
      </c>
      <c r="J60">
        <f t="shared" si="18"/>
        <v>0.16799999999999926</v>
      </c>
      <c r="K60">
        <f t="shared" si="19"/>
        <v>0.59299999999999997</v>
      </c>
      <c r="M60" s="2">
        <v>9.1259999999999994</v>
      </c>
      <c r="N60">
        <v>8.9429999999999996</v>
      </c>
      <c r="P60">
        <v>8.5090000000000003</v>
      </c>
      <c r="Q60">
        <f t="shared" si="20"/>
        <v>0.18299999999999983</v>
      </c>
      <c r="R60">
        <f t="shared" si="21"/>
        <v>0.6169999999999991</v>
      </c>
      <c r="S60" s="2">
        <v>9.8160000000000007</v>
      </c>
      <c r="T60">
        <v>9.7140000000000004</v>
      </c>
      <c r="V60">
        <v>9.2390000000000008</v>
      </c>
      <c r="W60">
        <f t="shared" si="22"/>
        <v>0.10200000000000031</v>
      </c>
      <c r="X60">
        <f t="shared" si="23"/>
        <v>0.57699999999999996</v>
      </c>
      <c r="Y60" s="2">
        <v>11.552</v>
      </c>
      <c r="Z60">
        <v>12.189</v>
      </c>
      <c r="AB60">
        <v>10.956</v>
      </c>
      <c r="AC60">
        <f t="shared" si="24"/>
        <v>0.63700000000000045</v>
      </c>
      <c r="AD60">
        <f t="shared" si="25"/>
        <v>0.59600000000000009</v>
      </c>
      <c r="AE60" s="2">
        <v>14.289</v>
      </c>
      <c r="AF60">
        <v>14.347</v>
      </c>
      <c r="AH60">
        <v>13.382</v>
      </c>
      <c r="AI60">
        <f t="shared" si="30"/>
        <v>5.7999999999999829E-2</v>
      </c>
      <c r="AJ60">
        <f t="shared" si="31"/>
        <v>0.90700000000000003</v>
      </c>
      <c r="AK60" s="2">
        <v>20.094999999999999</v>
      </c>
      <c r="AL60">
        <v>19.855</v>
      </c>
      <c r="AN60">
        <v>18.747</v>
      </c>
      <c r="AO60">
        <f t="shared" si="26"/>
        <v>0.23999999999999844</v>
      </c>
      <c r="AP60">
        <f t="shared" si="27"/>
        <v>1.347999999999999</v>
      </c>
      <c r="AQ60" s="2">
        <v>31.824000000000002</v>
      </c>
      <c r="AR60">
        <v>31.759</v>
      </c>
      <c r="AT60">
        <v>30.048999999999999</v>
      </c>
      <c r="AU60">
        <f t="shared" si="28"/>
        <v>6.5000000000001279E-2</v>
      </c>
      <c r="AV60">
        <f t="shared" si="29"/>
        <v>1.7750000000000021</v>
      </c>
      <c r="AW60" s="2"/>
    </row>
    <row r="61" spans="1:54" x14ac:dyDescent="0.2">
      <c r="A61" t="s">
        <v>44</v>
      </c>
      <c r="B61" t="s">
        <v>45</v>
      </c>
      <c r="C61" t="s">
        <v>46</v>
      </c>
      <c r="D61">
        <v>91</v>
      </c>
      <c r="E61" t="s">
        <v>8</v>
      </c>
      <c r="F61" s="2">
        <v>5.5270000000000001</v>
      </c>
      <c r="G61">
        <v>5.3710000000000004</v>
      </c>
      <c r="I61">
        <v>5.2249999999999996</v>
      </c>
      <c r="J61">
        <f t="shared" si="18"/>
        <v>0.15599999999999969</v>
      </c>
      <c r="K61">
        <f t="shared" si="19"/>
        <v>0.30200000000000049</v>
      </c>
      <c r="M61" s="2">
        <v>5.1230000000000002</v>
      </c>
      <c r="N61">
        <v>5.2030000000000003</v>
      </c>
      <c r="P61">
        <v>4.9359999999999999</v>
      </c>
      <c r="Q61">
        <f t="shared" si="20"/>
        <v>8.0000000000000071E-2</v>
      </c>
      <c r="R61">
        <f t="shared" si="21"/>
        <v>0.18700000000000028</v>
      </c>
      <c r="S61" s="2">
        <v>5.2629999999999999</v>
      </c>
      <c r="T61">
        <v>5.2</v>
      </c>
      <c r="V61">
        <v>5.0609999999999999</v>
      </c>
      <c r="W61">
        <f t="shared" si="22"/>
        <v>6.2999999999999723E-2</v>
      </c>
      <c r="X61">
        <f t="shared" si="23"/>
        <v>0.20199999999999996</v>
      </c>
      <c r="Y61" s="2">
        <v>6.14</v>
      </c>
      <c r="Z61">
        <v>5.85</v>
      </c>
      <c r="AB61">
        <v>5.9039999999999999</v>
      </c>
      <c r="AC61">
        <f t="shared" si="24"/>
        <v>0.29000000000000004</v>
      </c>
      <c r="AD61">
        <f>ABS(Y61-AB61)</f>
        <v>0.23599999999999977</v>
      </c>
      <c r="AE61" s="2"/>
      <c r="AF61">
        <v>6.3280000000000003</v>
      </c>
      <c r="AH61">
        <v>6.282</v>
      </c>
      <c r="AI61">
        <f t="shared" si="30"/>
        <v>6.3280000000000003</v>
      </c>
      <c r="AJ61">
        <f t="shared" si="31"/>
        <v>6.282</v>
      </c>
      <c r="AK61" s="2">
        <v>7.3840000000000003</v>
      </c>
      <c r="AL61">
        <v>7.6260000000000003</v>
      </c>
      <c r="AN61">
        <v>7.5380000000000003</v>
      </c>
      <c r="AO61">
        <f t="shared" si="26"/>
        <v>0.24199999999999999</v>
      </c>
      <c r="AP61">
        <f t="shared" si="27"/>
        <v>0.15399999999999991</v>
      </c>
      <c r="AQ61" s="2">
        <v>8.8919999999999995</v>
      </c>
      <c r="AR61">
        <v>10.132</v>
      </c>
      <c r="AT61">
        <v>10.920999999999999</v>
      </c>
      <c r="AU61">
        <f t="shared" si="28"/>
        <v>1.2400000000000002</v>
      </c>
      <c r="AV61">
        <f t="shared" si="29"/>
        <v>2.0289999999999999</v>
      </c>
      <c r="AW61" s="2"/>
    </row>
    <row r="62" spans="1:54" x14ac:dyDescent="0.2">
      <c r="AV62">
        <f t="shared" si="29"/>
        <v>0</v>
      </c>
    </row>
    <row r="63" spans="1:54" x14ac:dyDescent="0.2">
      <c r="AV63">
        <f t="shared" si="29"/>
        <v>0</v>
      </c>
    </row>
    <row r="64" spans="1:54" x14ac:dyDescent="0.2">
      <c r="A64" s="3" t="s">
        <v>81</v>
      </c>
      <c r="F64" s="4">
        <v>41</v>
      </c>
      <c r="M64" s="4">
        <v>42</v>
      </c>
      <c r="S64" s="4">
        <v>43</v>
      </c>
      <c r="Y64" s="4">
        <v>44</v>
      </c>
      <c r="AE64" s="4">
        <v>45</v>
      </c>
      <c r="AK64" s="4">
        <v>46</v>
      </c>
      <c r="AQ64" s="4">
        <v>47</v>
      </c>
      <c r="AV64">
        <f t="shared" si="29"/>
        <v>47</v>
      </c>
      <c r="AW64" s="4">
        <v>48</v>
      </c>
    </row>
    <row r="65" spans="1:54" x14ac:dyDescent="0.2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s="1" t="s">
        <v>70</v>
      </c>
      <c r="G65" t="s">
        <v>85</v>
      </c>
      <c r="H65" t="s">
        <v>47</v>
      </c>
      <c r="I65" t="s">
        <v>89</v>
      </c>
      <c r="J65" t="s">
        <v>86</v>
      </c>
      <c r="K65" t="s">
        <v>87</v>
      </c>
      <c r="M65" s="1" t="s">
        <v>71</v>
      </c>
      <c r="N65" t="s">
        <v>85</v>
      </c>
      <c r="O65" t="s">
        <v>47</v>
      </c>
      <c r="P65" t="s">
        <v>89</v>
      </c>
      <c r="Q65" s="6" t="s">
        <v>86</v>
      </c>
      <c r="R65" s="6" t="s">
        <v>87</v>
      </c>
      <c r="S65" s="1" t="s">
        <v>72</v>
      </c>
      <c r="T65" t="s">
        <v>85</v>
      </c>
      <c r="U65" t="s">
        <v>47</v>
      </c>
      <c r="V65" t="s">
        <v>89</v>
      </c>
      <c r="W65" s="6" t="s">
        <v>86</v>
      </c>
      <c r="X65" s="6" t="s">
        <v>87</v>
      </c>
      <c r="Y65" s="1" t="s">
        <v>73</v>
      </c>
      <c r="Z65" t="s">
        <v>85</v>
      </c>
      <c r="AA65" t="s">
        <v>47</v>
      </c>
      <c r="AB65" t="s">
        <v>89</v>
      </c>
      <c r="AC65" s="6" t="s">
        <v>86</v>
      </c>
      <c r="AD65" s="6" t="s">
        <v>87</v>
      </c>
      <c r="AE65" s="1" t="s">
        <v>74</v>
      </c>
      <c r="AF65" t="s">
        <v>85</v>
      </c>
      <c r="AG65" t="s">
        <v>47</v>
      </c>
      <c r="AH65" t="s">
        <v>89</v>
      </c>
      <c r="AI65" s="6" t="s">
        <v>86</v>
      </c>
      <c r="AJ65" s="6" t="s">
        <v>87</v>
      </c>
      <c r="AK65" s="1" t="s">
        <v>75</v>
      </c>
      <c r="AL65" t="s">
        <v>85</v>
      </c>
      <c r="AM65" t="s">
        <v>47</v>
      </c>
      <c r="AN65" t="s">
        <v>89</v>
      </c>
      <c r="AO65" s="6" t="s">
        <v>86</v>
      </c>
      <c r="AP65" s="6" t="s">
        <v>87</v>
      </c>
      <c r="AQ65" s="1" t="s">
        <v>76</v>
      </c>
      <c r="AR65" s="6" t="s">
        <v>85</v>
      </c>
      <c r="AS65" t="s">
        <v>47</v>
      </c>
      <c r="AT65" t="s">
        <v>89</v>
      </c>
      <c r="AU65" s="6" t="s">
        <v>86</v>
      </c>
      <c r="AV65" s="6" t="s">
        <v>87</v>
      </c>
      <c r="AW65" s="1" t="s">
        <v>77</v>
      </c>
      <c r="AX65" s="6" t="s">
        <v>85</v>
      </c>
      <c r="AY65" t="s">
        <v>47</v>
      </c>
      <c r="AZ65" t="s">
        <v>89</v>
      </c>
      <c r="BA65" s="6" t="s">
        <v>86</v>
      </c>
      <c r="BB65" s="6" t="s">
        <v>87</v>
      </c>
    </row>
    <row r="66" spans="1:54" x14ac:dyDescent="0.2">
      <c r="A66" t="s">
        <v>6</v>
      </c>
      <c r="B66" t="s">
        <v>7</v>
      </c>
      <c r="C66">
        <v>202504447</v>
      </c>
      <c r="D66">
        <v>28</v>
      </c>
      <c r="E66" t="s">
        <v>8</v>
      </c>
      <c r="F66" s="2">
        <v>36.96</v>
      </c>
      <c r="G66">
        <v>36.162999999999997</v>
      </c>
      <c r="I66">
        <v>34.281999999999996</v>
      </c>
      <c r="J66">
        <f>ABS(F66-G66)</f>
        <v>0.79700000000000415</v>
      </c>
      <c r="K66">
        <f>ABS(F66-I66)</f>
        <v>2.6780000000000044</v>
      </c>
      <c r="M66" s="2">
        <v>35.512</v>
      </c>
      <c r="N66">
        <v>34.877000000000002</v>
      </c>
      <c r="P66">
        <v>31.992000000000001</v>
      </c>
      <c r="Q66">
        <f t="shared" si="20"/>
        <v>0.63499999999999801</v>
      </c>
      <c r="R66">
        <f t="shared" si="21"/>
        <v>3.5199999999999996</v>
      </c>
      <c r="S66" s="2">
        <v>38.095999999999997</v>
      </c>
      <c r="T66">
        <v>38.204999999999998</v>
      </c>
      <c r="V66">
        <v>35.97</v>
      </c>
      <c r="W66">
        <f t="shared" si="22"/>
        <v>0.10900000000000176</v>
      </c>
      <c r="X66">
        <f t="shared" si="23"/>
        <v>2.1259999999999977</v>
      </c>
      <c r="Y66" s="2">
        <v>38.643000000000001</v>
      </c>
      <c r="Z66">
        <v>38.298000000000002</v>
      </c>
      <c r="AB66">
        <v>38.470999999999997</v>
      </c>
      <c r="AC66">
        <f t="shared" si="24"/>
        <v>0.34499999999999886</v>
      </c>
      <c r="AD66">
        <f t="shared" ref="AD62:AD81" si="34">ABS(Y66-AB66)</f>
        <v>0.17200000000000415</v>
      </c>
      <c r="AE66" s="2">
        <v>33.002000000000002</v>
      </c>
      <c r="AF66">
        <v>32.122999999999998</v>
      </c>
      <c r="AH66">
        <v>34.286999999999999</v>
      </c>
      <c r="AI66">
        <f t="shared" si="30"/>
        <v>0.87900000000000489</v>
      </c>
      <c r="AJ66">
        <f t="shared" si="31"/>
        <v>1.2849999999999966</v>
      </c>
      <c r="AK66" s="2">
        <v>23.782</v>
      </c>
      <c r="AL66">
        <v>24.097000000000001</v>
      </c>
      <c r="AN66">
        <v>40.011000000000003</v>
      </c>
      <c r="AO66">
        <f t="shared" si="26"/>
        <v>0.31500000000000128</v>
      </c>
      <c r="AP66">
        <f t="shared" si="27"/>
        <v>16.229000000000003</v>
      </c>
      <c r="AQ66" s="2">
        <v>34.101999999999997</v>
      </c>
      <c r="AR66">
        <v>34.014000000000003</v>
      </c>
      <c r="AT66">
        <v>32.109000000000002</v>
      </c>
      <c r="AU66">
        <f t="shared" si="28"/>
        <v>8.7999999999993861E-2</v>
      </c>
      <c r="AV66">
        <f t="shared" si="29"/>
        <v>1.992999999999995</v>
      </c>
      <c r="AW66" s="2"/>
    </row>
    <row r="67" spans="1:54" x14ac:dyDescent="0.2">
      <c r="A67" t="s">
        <v>9</v>
      </c>
      <c r="B67" t="s">
        <v>10</v>
      </c>
      <c r="C67">
        <v>202505770</v>
      </c>
      <c r="D67">
        <v>56</v>
      </c>
      <c r="E67" t="s">
        <v>8</v>
      </c>
      <c r="F67" s="2">
        <v>12.484</v>
      </c>
      <c r="G67">
        <v>13.863</v>
      </c>
      <c r="I67">
        <v>13.513</v>
      </c>
      <c r="J67">
        <f t="shared" ref="J67:J81" si="35">ABS(F67-G67)</f>
        <v>1.3789999999999996</v>
      </c>
      <c r="K67">
        <f t="shared" ref="K67:K81" si="36">ABS(F67-I67)</f>
        <v>1.0289999999999999</v>
      </c>
      <c r="M67" s="2">
        <v>13.605</v>
      </c>
      <c r="N67">
        <v>14.346</v>
      </c>
      <c r="P67">
        <v>14.419</v>
      </c>
      <c r="Q67">
        <f t="shared" si="20"/>
        <v>0.74099999999999966</v>
      </c>
      <c r="R67">
        <f t="shared" si="21"/>
        <v>0.81400000000000006</v>
      </c>
      <c r="S67" s="2">
        <v>14.635999999999999</v>
      </c>
      <c r="T67">
        <v>15.846</v>
      </c>
      <c r="V67">
        <v>15.507999999999999</v>
      </c>
      <c r="W67">
        <f t="shared" si="22"/>
        <v>1.2100000000000009</v>
      </c>
      <c r="X67">
        <f t="shared" si="23"/>
        <v>0.87199999999999989</v>
      </c>
      <c r="Y67" s="2">
        <v>15.776999999999999</v>
      </c>
      <c r="Z67">
        <v>16.652000000000001</v>
      </c>
      <c r="AB67">
        <v>16.597999999999999</v>
      </c>
      <c r="AC67">
        <f t="shared" si="24"/>
        <v>0.87500000000000178</v>
      </c>
      <c r="AD67">
        <f t="shared" si="34"/>
        <v>0.82099999999999973</v>
      </c>
      <c r="AE67" s="2">
        <v>17.361999999999998</v>
      </c>
      <c r="AF67">
        <v>18.004000000000001</v>
      </c>
      <c r="AH67">
        <v>17.978999999999999</v>
      </c>
      <c r="AI67">
        <f t="shared" si="30"/>
        <v>0.64200000000000301</v>
      </c>
      <c r="AJ67">
        <f t="shared" si="31"/>
        <v>0.61700000000000088</v>
      </c>
      <c r="AK67" s="2">
        <v>19.806000000000001</v>
      </c>
      <c r="AL67">
        <v>20.445</v>
      </c>
      <c r="AN67">
        <v>19.138000000000002</v>
      </c>
      <c r="AO67">
        <f t="shared" si="26"/>
        <v>0.63899999999999935</v>
      </c>
      <c r="AP67">
        <f t="shared" si="27"/>
        <v>0.66799999999999926</v>
      </c>
      <c r="AQ67" s="2">
        <v>25.395</v>
      </c>
      <c r="AR67">
        <v>26.58</v>
      </c>
      <c r="AT67">
        <v>24.218</v>
      </c>
      <c r="AU67">
        <f t="shared" si="28"/>
        <v>1.1849999999999987</v>
      </c>
      <c r="AV67">
        <f t="shared" si="29"/>
        <v>1.1769999999999996</v>
      </c>
      <c r="AW67" s="2"/>
    </row>
    <row r="68" spans="1:54" x14ac:dyDescent="0.2">
      <c r="A68" t="s">
        <v>11</v>
      </c>
      <c r="B68" t="s">
        <v>12</v>
      </c>
      <c r="C68">
        <v>202506191</v>
      </c>
      <c r="D68">
        <v>44</v>
      </c>
      <c r="E68" t="s">
        <v>8</v>
      </c>
      <c r="F68" s="2">
        <v>19.759</v>
      </c>
      <c r="G68">
        <v>19.776</v>
      </c>
      <c r="I68">
        <v>19.227</v>
      </c>
      <c r="J68">
        <f t="shared" si="35"/>
        <v>1.699999999999946E-2</v>
      </c>
      <c r="K68">
        <f t="shared" si="36"/>
        <v>0.53200000000000003</v>
      </c>
      <c r="M68" s="2">
        <v>18.864999999999998</v>
      </c>
      <c r="N68">
        <v>19.414000000000001</v>
      </c>
      <c r="P68">
        <v>18.798999999999999</v>
      </c>
      <c r="Q68">
        <f t="shared" si="20"/>
        <v>0.54900000000000304</v>
      </c>
      <c r="R68">
        <f t="shared" si="21"/>
        <v>6.5999999999998948E-2</v>
      </c>
      <c r="S68" s="2">
        <v>18.440999999999999</v>
      </c>
      <c r="T68">
        <v>18.716999999999999</v>
      </c>
      <c r="V68">
        <v>18.498000000000001</v>
      </c>
      <c r="W68">
        <f t="shared" si="22"/>
        <v>0.2759999999999998</v>
      </c>
      <c r="X68">
        <f t="shared" si="23"/>
        <v>5.700000000000216E-2</v>
      </c>
      <c r="Y68" s="2">
        <v>17.526</v>
      </c>
      <c r="Z68">
        <v>18.355</v>
      </c>
      <c r="AB68">
        <v>18.48</v>
      </c>
      <c r="AC68">
        <f t="shared" si="24"/>
        <v>0.82900000000000063</v>
      </c>
      <c r="AD68">
        <f t="shared" si="34"/>
        <v>0.95400000000000063</v>
      </c>
      <c r="AE68" s="2">
        <v>19.152999999999999</v>
      </c>
      <c r="AF68">
        <v>19.617000000000001</v>
      </c>
      <c r="AH68">
        <v>19.065000000000001</v>
      </c>
      <c r="AI68">
        <f t="shared" si="30"/>
        <v>0.46400000000000219</v>
      </c>
      <c r="AJ68">
        <f t="shared" si="31"/>
        <v>8.7999999999997414E-2</v>
      </c>
      <c r="AK68" s="2">
        <v>22.747</v>
      </c>
      <c r="AL68">
        <v>22.870999999999999</v>
      </c>
      <c r="AN68">
        <v>22.669</v>
      </c>
      <c r="AO68">
        <f t="shared" si="26"/>
        <v>0.12399999999999878</v>
      </c>
      <c r="AP68">
        <f t="shared" si="27"/>
        <v>7.7999999999999403E-2</v>
      </c>
      <c r="AQ68" s="2">
        <v>28.347000000000001</v>
      </c>
      <c r="AR68">
        <v>28.579000000000001</v>
      </c>
      <c r="AT68">
        <v>29.57</v>
      </c>
      <c r="AU68">
        <f t="shared" si="28"/>
        <v>0.23199999999999932</v>
      </c>
      <c r="AV68">
        <f t="shared" si="29"/>
        <v>1.222999999999999</v>
      </c>
      <c r="AW68" s="2"/>
    </row>
    <row r="69" spans="1:54" x14ac:dyDescent="0.2">
      <c r="A69" t="s">
        <v>13</v>
      </c>
      <c r="B69" t="s">
        <v>14</v>
      </c>
      <c r="C69">
        <v>202504764</v>
      </c>
      <c r="D69">
        <v>29</v>
      </c>
      <c r="E69" t="s">
        <v>8</v>
      </c>
      <c r="F69" s="2">
        <v>8.2110000000000003</v>
      </c>
      <c r="G69">
        <v>8.3800000000000008</v>
      </c>
      <c r="I69">
        <v>8.0980000000000008</v>
      </c>
      <c r="J69">
        <f t="shared" si="35"/>
        <v>0.16900000000000048</v>
      </c>
      <c r="K69">
        <f t="shared" si="36"/>
        <v>0.11299999999999955</v>
      </c>
      <c r="M69" s="2">
        <v>8.9979999999999993</v>
      </c>
      <c r="N69">
        <v>9.1950000000000003</v>
      </c>
      <c r="P69">
        <v>8.7579999999999991</v>
      </c>
      <c r="Q69">
        <f t="shared" si="20"/>
        <v>0.19700000000000095</v>
      </c>
      <c r="R69">
        <f t="shared" si="21"/>
        <v>0.24000000000000021</v>
      </c>
      <c r="S69" s="2">
        <v>8.4830000000000005</v>
      </c>
      <c r="T69">
        <v>8.3610000000000007</v>
      </c>
      <c r="V69">
        <v>8.3859999999999992</v>
      </c>
      <c r="W69">
        <f t="shared" si="22"/>
        <v>0.12199999999999989</v>
      </c>
      <c r="X69">
        <f t="shared" si="23"/>
        <v>9.7000000000001307E-2</v>
      </c>
      <c r="Y69" s="2">
        <v>8.2739999999999991</v>
      </c>
      <c r="Z69">
        <v>8.2260000000000009</v>
      </c>
      <c r="AB69">
        <v>8.1560000000000006</v>
      </c>
      <c r="AC69">
        <f t="shared" si="24"/>
        <v>4.7999999999998266E-2</v>
      </c>
      <c r="AD69">
        <f t="shared" si="34"/>
        <v>0.11799999999999855</v>
      </c>
      <c r="AE69" s="2">
        <v>7.9610000000000003</v>
      </c>
      <c r="AF69">
        <v>8.2249999999999996</v>
      </c>
      <c r="AH69">
        <v>7.93</v>
      </c>
      <c r="AI69">
        <f t="shared" si="30"/>
        <v>0.26399999999999935</v>
      </c>
      <c r="AJ69">
        <f t="shared" si="31"/>
        <v>3.1000000000000583E-2</v>
      </c>
      <c r="AK69" s="2">
        <v>8.3829999999999991</v>
      </c>
      <c r="AL69">
        <v>7.157</v>
      </c>
      <c r="AN69">
        <v>8.7720000000000002</v>
      </c>
      <c r="AO69">
        <f t="shared" si="26"/>
        <v>1.2259999999999991</v>
      </c>
      <c r="AP69">
        <f t="shared" si="27"/>
        <v>0.38900000000000112</v>
      </c>
      <c r="AQ69" s="2">
        <v>6.7610000000000001</v>
      </c>
      <c r="AR69">
        <v>6.5979999999999999</v>
      </c>
      <c r="AT69">
        <v>8.8529999999999998</v>
      </c>
      <c r="AU69">
        <f t="shared" si="28"/>
        <v>0.16300000000000026</v>
      </c>
      <c r="AV69">
        <f t="shared" si="29"/>
        <v>2.0919999999999996</v>
      </c>
      <c r="AW69" s="2"/>
    </row>
    <row r="70" spans="1:54" x14ac:dyDescent="0.2">
      <c r="A70" t="s">
        <v>15</v>
      </c>
      <c r="B70" t="s">
        <v>16</v>
      </c>
      <c r="C70">
        <v>202506605</v>
      </c>
      <c r="D70">
        <v>69</v>
      </c>
      <c r="E70" t="s">
        <v>8</v>
      </c>
      <c r="F70" s="2">
        <v>18.248000000000001</v>
      </c>
      <c r="G70">
        <v>21.370999999999999</v>
      </c>
      <c r="I70">
        <v>21.006</v>
      </c>
      <c r="J70">
        <f t="shared" si="35"/>
        <v>3.1229999999999976</v>
      </c>
      <c r="K70">
        <f t="shared" si="36"/>
        <v>2.7579999999999991</v>
      </c>
      <c r="M70" s="2">
        <v>22.166</v>
      </c>
      <c r="N70">
        <v>26.651</v>
      </c>
      <c r="P70">
        <v>26.11</v>
      </c>
      <c r="Q70">
        <f t="shared" si="20"/>
        <v>4.4849999999999994</v>
      </c>
      <c r="R70">
        <f t="shared" si="21"/>
        <v>3.9439999999999991</v>
      </c>
      <c r="S70" s="2">
        <v>29.32</v>
      </c>
      <c r="T70">
        <v>33.61</v>
      </c>
      <c r="V70">
        <v>32.149000000000001</v>
      </c>
      <c r="W70">
        <f t="shared" si="22"/>
        <v>4.2899999999999991</v>
      </c>
      <c r="X70">
        <f t="shared" si="23"/>
        <v>2.8290000000000006</v>
      </c>
      <c r="Y70" s="2">
        <v>36.837000000000003</v>
      </c>
      <c r="Z70">
        <v>39.811999999999998</v>
      </c>
      <c r="AB70">
        <v>39.183999999999997</v>
      </c>
      <c r="AC70">
        <f t="shared" si="24"/>
        <v>2.9749999999999943</v>
      </c>
      <c r="AD70">
        <f t="shared" si="34"/>
        <v>2.3469999999999942</v>
      </c>
      <c r="AE70" s="2">
        <v>48.31</v>
      </c>
      <c r="AF70">
        <v>54.145000000000003</v>
      </c>
      <c r="AH70">
        <v>50.615000000000002</v>
      </c>
      <c r="AI70">
        <f t="shared" si="30"/>
        <v>5.8350000000000009</v>
      </c>
      <c r="AJ70">
        <f t="shared" si="31"/>
        <v>2.3049999999999997</v>
      </c>
      <c r="AK70" s="2"/>
      <c r="AQ70" s="2"/>
      <c r="AW70" s="2">
        <v>70.650999999999996</v>
      </c>
      <c r="AX70">
        <v>67.352000000000004</v>
      </c>
      <c r="AZ70">
        <v>70.138000000000005</v>
      </c>
      <c r="BA70">
        <f t="shared" si="32"/>
        <v>3.2989999999999924</v>
      </c>
      <c r="BB70">
        <f t="shared" si="33"/>
        <v>0.51299999999999102</v>
      </c>
    </row>
    <row r="71" spans="1:54" x14ac:dyDescent="0.2">
      <c r="A71" t="s">
        <v>17</v>
      </c>
      <c r="B71" t="s">
        <v>18</v>
      </c>
      <c r="C71">
        <v>202506703</v>
      </c>
      <c r="D71">
        <v>49</v>
      </c>
      <c r="E71" t="s">
        <v>19</v>
      </c>
      <c r="F71" s="2">
        <v>8.7539999999999996</v>
      </c>
      <c r="G71">
        <v>8.5399999999999991</v>
      </c>
      <c r="I71">
        <v>8.4160000000000004</v>
      </c>
      <c r="J71">
        <f t="shared" si="35"/>
        <v>0.21400000000000041</v>
      </c>
      <c r="K71">
        <f t="shared" si="36"/>
        <v>0.33799999999999919</v>
      </c>
      <c r="M71" s="2">
        <v>8.4420000000000002</v>
      </c>
      <c r="N71">
        <v>8.4260000000000002</v>
      </c>
      <c r="P71">
        <v>8.1760000000000002</v>
      </c>
      <c r="Q71">
        <f t="shared" si="20"/>
        <v>1.6000000000000014E-2</v>
      </c>
      <c r="R71">
        <f t="shared" si="21"/>
        <v>0.26600000000000001</v>
      </c>
      <c r="S71" s="2">
        <v>9.7420000000000009</v>
      </c>
      <c r="T71">
        <v>9.51</v>
      </c>
      <c r="V71">
        <v>9.1379999999999999</v>
      </c>
      <c r="W71">
        <f t="shared" si="22"/>
        <v>0.23200000000000109</v>
      </c>
      <c r="X71">
        <f t="shared" si="23"/>
        <v>0.60400000000000098</v>
      </c>
      <c r="Y71" s="2">
        <v>12.904</v>
      </c>
      <c r="Z71">
        <v>12.224</v>
      </c>
      <c r="AB71">
        <v>11.97</v>
      </c>
      <c r="AC71">
        <f t="shared" si="24"/>
        <v>0.67999999999999972</v>
      </c>
      <c r="AD71">
        <f t="shared" si="34"/>
        <v>0.93399999999999928</v>
      </c>
      <c r="AE71" s="2">
        <v>15.986000000000001</v>
      </c>
      <c r="AF71">
        <v>14.523999999999999</v>
      </c>
      <c r="AH71">
        <v>13.992000000000001</v>
      </c>
      <c r="AI71">
        <f t="shared" si="30"/>
        <v>1.4620000000000015</v>
      </c>
      <c r="AJ71">
        <f t="shared" si="31"/>
        <v>1.9939999999999998</v>
      </c>
      <c r="AK71" s="2">
        <v>21.513999999999999</v>
      </c>
      <c r="AL71">
        <v>20.245000000000001</v>
      </c>
      <c r="AN71">
        <v>16.581</v>
      </c>
      <c r="AO71">
        <f t="shared" si="26"/>
        <v>1.2689999999999984</v>
      </c>
      <c r="AP71">
        <f t="shared" si="27"/>
        <v>4.9329999999999998</v>
      </c>
      <c r="AQ71" s="2"/>
      <c r="AW71" s="2">
        <v>43.232999999999997</v>
      </c>
      <c r="AX71">
        <v>32.368000000000002</v>
      </c>
      <c r="AZ71">
        <v>32.652999999999999</v>
      </c>
      <c r="BA71">
        <f t="shared" si="32"/>
        <v>10.864999999999995</v>
      </c>
      <c r="BB71">
        <f t="shared" si="33"/>
        <v>10.579999999999998</v>
      </c>
    </row>
    <row r="72" spans="1:54" x14ac:dyDescent="0.2">
      <c r="A72" t="s">
        <v>20</v>
      </c>
      <c r="B72" t="s">
        <v>21</v>
      </c>
      <c r="C72">
        <v>202504308</v>
      </c>
      <c r="D72">
        <v>61</v>
      </c>
      <c r="E72" t="s">
        <v>8</v>
      </c>
      <c r="F72" s="2"/>
      <c r="M72" s="2"/>
      <c r="S72" s="2"/>
      <c r="Y72" s="2"/>
      <c r="AE72" s="2">
        <v>58.216000000000001</v>
      </c>
      <c r="AF72">
        <v>58.814</v>
      </c>
      <c r="AH72">
        <v>59.247999999999998</v>
      </c>
      <c r="AI72">
        <f t="shared" si="30"/>
        <v>0.59799999999999898</v>
      </c>
      <c r="AJ72">
        <f t="shared" si="31"/>
        <v>1.0319999999999965</v>
      </c>
      <c r="AK72" s="2"/>
      <c r="AN72">
        <v>33.869999999999997</v>
      </c>
      <c r="AO72">
        <f t="shared" si="26"/>
        <v>0</v>
      </c>
      <c r="AP72">
        <f t="shared" si="27"/>
        <v>33.869999999999997</v>
      </c>
      <c r="AQ72" s="2">
        <v>32.767000000000003</v>
      </c>
      <c r="AR72">
        <v>26.792999999999999</v>
      </c>
      <c r="AT72">
        <v>26.742000000000001</v>
      </c>
      <c r="AU72">
        <f t="shared" si="28"/>
        <v>5.9740000000000038</v>
      </c>
      <c r="AV72">
        <f t="shared" si="29"/>
        <v>6.0250000000000021</v>
      </c>
      <c r="AW72" s="2"/>
    </row>
    <row r="73" spans="1:54" x14ac:dyDescent="0.2">
      <c r="A73" t="s">
        <v>22</v>
      </c>
      <c r="B73" t="s">
        <v>23</v>
      </c>
      <c r="C73">
        <v>202505010</v>
      </c>
      <c r="D73">
        <v>52</v>
      </c>
      <c r="E73" t="s">
        <v>8</v>
      </c>
      <c r="F73" s="2">
        <v>26.181000000000001</v>
      </c>
      <c r="G73">
        <v>27.157</v>
      </c>
      <c r="I73">
        <v>25.591999999999999</v>
      </c>
      <c r="J73">
        <f t="shared" si="35"/>
        <v>0.97599999999999909</v>
      </c>
      <c r="K73">
        <f t="shared" si="36"/>
        <v>0.58900000000000219</v>
      </c>
      <c r="M73" s="2">
        <v>24.826000000000001</v>
      </c>
      <c r="N73">
        <v>25.58</v>
      </c>
      <c r="P73">
        <v>23.946999999999999</v>
      </c>
      <c r="Q73">
        <f t="shared" si="20"/>
        <v>0.75399999999999778</v>
      </c>
      <c r="R73">
        <f t="shared" si="21"/>
        <v>0.87900000000000134</v>
      </c>
      <c r="S73" s="2">
        <v>27.55</v>
      </c>
      <c r="T73">
        <v>28.416</v>
      </c>
      <c r="V73">
        <v>25.940999999999999</v>
      </c>
      <c r="W73">
        <f t="shared" si="22"/>
        <v>0.86599999999999966</v>
      </c>
      <c r="X73">
        <f t="shared" si="23"/>
        <v>1.6090000000000018</v>
      </c>
      <c r="Y73" s="2">
        <v>34.875</v>
      </c>
      <c r="Z73">
        <v>35.997999999999998</v>
      </c>
      <c r="AB73">
        <v>33.491999999999997</v>
      </c>
      <c r="AC73">
        <f t="shared" si="24"/>
        <v>1.1229999999999976</v>
      </c>
      <c r="AD73">
        <f t="shared" si="34"/>
        <v>1.3830000000000027</v>
      </c>
      <c r="AE73" s="2"/>
      <c r="AK73" s="2">
        <v>44.713999999999999</v>
      </c>
      <c r="AL73">
        <v>45.19</v>
      </c>
      <c r="AN73">
        <v>44.860999999999997</v>
      </c>
      <c r="AO73">
        <f t="shared" si="26"/>
        <v>0.47599999999999909</v>
      </c>
      <c r="AP73">
        <f t="shared" si="27"/>
        <v>0.14699999999999847</v>
      </c>
      <c r="AQ73" s="2">
        <v>40.762999999999998</v>
      </c>
      <c r="AR73">
        <v>37.418999999999997</v>
      </c>
      <c r="AT73">
        <v>38.238999999999997</v>
      </c>
      <c r="AU73">
        <f t="shared" si="28"/>
        <v>3.3440000000000012</v>
      </c>
      <c r="AV73">
        <f t="shared" si="29"/>
        <v>2.5240000000000009</v>
      </c>
      <c r="AW73" s="2"/>
    </row>
    <row r="74" spans="1:54" x14ac:dyDescent="0.2">
      <c r="A74" t="s">
        <v>24</v>
      </c>
      <c r="B74" t="s">
        <v>25</v>
      </c>
      <c r="C74">
        <v>202503802</v>
      </c>
      <c r="D74">
        <v>47</v>
      </c>
      <c r="E74" t="s">
        <v>19</v>
      </c>
      <c r="F74" s="2">
        <v>15.335000000000001</v>
      </c>
      <c r="G74">
        <v>15.84</v>
      </c>
      <c r="I74">
        <v>15.074</v>
      </c>
      <c r="J74">
        <f t="shared" si="35"/>
        <v>0.50499999999999901</v>
      </c>
      <c r="K74">
        <f t="shared" si="36"/>
        <v>0.26100000000000101</v>
      </c>
      <c r="M74" s="2">
        <v>16.064</v>
      </c>
      <c r="N74">
        <v>16.814</v>
      </c>
      <c r="P74">
        <v>15.457000000000001</v>
      </c>
      <c r="Q74">
        <f t="shared" si="20"/>
        <v>0.75</v>
      </c>
      <c r="R74">
        <f t="shared" si="21"/>
        <v>0.60699999999999932</v>
      </c>
      <c r="S74" s="2">
        <v>16.074000000000002</v>
      </c>
      <c r="T74">
        <v>18.003</v>
      </c>
      <c r="V74">
        <v>16.786000000000001</v>
      </c>
      <c r="W74">
        <f t="shared" si="22"/>
        <v>1.9289999999999985</v>
      </c>
      <c r="X74">
        <f t="shared" si="23"/>
        <v>0.71199999999999974</v>
      </c>
      <c r="Y74" s="2">
        <v>17.109000000000002</v>
      </c>
      <c r="Z74">
        <v>19.231999999999999</v>
      </c>
      <c r="AB74">
        <v>17.972000000000001</v>
      </c>
      <c r="AC74">
        <f t="shared" si="24"/>
        <v>2.1229999999999976</v>
      </c>
      <c r="AD74">
        <f t="shared" si="34"/>
        <v>0.86299999999999955</v>
      </c>
      <c r="AE74" s="2">
        <v>18.207000000000001</v>
      </c>
      <c r="AF74">
        <v>21.074000000000002</v>
      </c>
      <c r="AH74">
        <v>19.271000000000001</v>
      </c>
      <c r="AI74">
        <f t="shared" si="30"/>
        <v>2.8670000000000009</v>
      </c>
      <c r="AJ74">
        <f t="shared" si="31"/>
        <v>1.0640000000000001</v>
      </c>
      <c r="AK74" s="2">
        <v>23.408000000000001</v>
      </c>
      <c r="AL74">
        <v>27.484999999999999</v>
      </c>
      <c r="AN74">
        <v>21.9</v>
      </c>
      <c r="AO74">
        <f t="shared" si="26"/>
        <v>4.0769999999999982</v>
      </c>
      <c r="AP74">
        <f t="shared" si="27"/>
        <v>1.5080000000000027</v>
      </c>
      <c r="AQ74" s="2">
        <v>31.428999999999998</v>
      </c>
      <c r="AR74">
        <v>31.826000000000001</v>
      </c>
      <c r="AT74">
        <v>26.988</v>
      </c>
      <c r="AU74">
        <f t="shared" si="28"/>
        <v>0.39700000000000202</v>
      </c>
      <c r="AV74">
        <f t="shared" si="29"/>
        <v>4.4409999999999989</v>
      </c>
      <c r="AW74" s="2">
        <v>54.887999999999998</v>
      </c>
      <c r="AX74">
        <v>39.906999999999996</v>
      </c>
      <c r="AZ74">
        <v>46.676000000000002</v>
      </c>
      <c r="BA74">
        <f t="shared" si="32"/>
        <v>14.981000000000002</v>
      </c>
      <c r="BB74">
        <f t="shared" si="33"/>
        <v>8.2119999999999962</v>
      </c>
    </row>
    <row r="75" spans="1:54" x14ac:dyDescent="0.2">
      <c r="A75" t="s">
        <v>26</v>
      </c>
      <c r="B75" t="s">
        <v>27</v>
      </c>
      <c r="C75" t="s">
        <v>28</v>
      </c>
      <c r="D75">
        <v>73</v>
      </c>
      <c r="E75" t="s">
        <v>19</v>
      </c>
      <c r="F75" s="2">
        <v>5.1520000000000001</v>
      </c>
      <c r="G75">
        <v>5.0720000000000001</v>
      </c>
      <c r="I75">
        <v>4.9580000000000002</v>
      </c>
      <c r="J75">
        <f t="shared" si="35"/>
        <v>8.0000000000000071E-2</v>
      </c>
      <c r="K75">
        <f t="shared" si="36"/>
        <v>0.19399999999999995</v>
      </c>
      <c r="M75" s="2">
        <v>5.367</v>
      </c>
      <c r="N75">
        <v>5.149</v>
      </c>
      <c r="P75">
        <v>4.984</v>
      </c>
      <c r="Q75">
        <f t="shared" si="20"/>
        <v>0.21799999999999997</v>
      </c>
      <c r="R75">
        <f t="shared" si="21"/>
        <v>0.38300000000000001</v>
      </c>
      <c r="S75" s="2">
        <v>5.3280000000000003</v>
      </c>
      <c r="T75">
        <v>5.1219999999999999</v>
      </c>
      <c r="V75">
        <v>5.0460000000000003</v>
      </c>
      <c r="W75">
        <f t="shared" si="22"/>
        <v>0.20600000000000041</v>
      </c>
      <c r="X75">
        <f t="shared" si="23"/>
        <v>0.28200000000000003</v>
      </c>
      <c r="Y75" s="2">
        <v>5.94</v>
      </c>
      <c r="Z75">
        <v>5.6289999999999996</v>
      </c>
      <c r="AB75">
        <v>5.6790000000000003</v>
      </c>
      <c r="AC75">
        <f t="shared" si="24"/>
        <v>0.31100000000000083</v>
      </c>
      <c r="AD75">
        <f t="shared" si="34"/>
        <v>0.26100000000000012</v>
      </c>
      <c r="AE75" s="2">
        <v>6.7830000000000004</v>
      </c>
      <c r="AF75">
        <v>6.2240000000000002</v>
      </c>
      <c r="AH75">
        <v>6.1829999999999998</v>
      </c>
      <c r="AI75">
        <f t="shared" si="30"/>
        <v>0.55900000000000016</v>
      </c>
      <c r="AJ75">
        <f t="shared" si="31"/>
        <v>0.60000000000000053</v>
      </c>
      <c r="AK75" s="2"/>
      <c r="AQ75" s="2"/>
      <c r="AW75" s="2"/>
    </row>
    <row r="76" spans="1:54" x14ac:dyDescent="0.2">
      <c r="A76" t="s">
        <v>29</v>
      </c>
      <c r="B76" t="s">
        <v>30</v>
      </c>
      <c r="C76" t="s">
        <v>31</v>
      </c>
      <c r="D76">
        <v>73</v>
      </c>
      <c r="E76" t="s">
        <v>8</v>
      </c>
      <c r="F76" s="2">
        <v>27.655999999999999</v>
      </c>
      <c r="G76">
        <v>27.710999999999999</v>
      </c>
      <c r="I76">
        <v>27.347000000000001</v>
      </c>
      <c r="J76">
        <f t="shared" si="35"/>
        <v>5.4999999999999716E-2</v>
      </c>
      <c r="K76">
        <f t="shared" si="36"/>
        <v>0.3089999999999975</v>
      </c>
      <c r="M76" s="2">
        <v>26.670999999999999</v>
      </c>
      <c r="N76">
        <v>26.876000000000001</v>
      </c>
      <c r="P76">
        <v>26.7</v>
      </c>
      <c r="Q76">
        <f t="shared" si="20"/>
        <v>0.20500000000000185</v>
      </c>
      <c r="R76">
        <f t="shared" si="21"/>
        <v>2.8999999999999915E-2</v>
      </c>
      <c r="S76" s="2">
        <v>25.616</v>
      </c>
      <c r="T76">
        <v>25.631</v>
      </c>
      <c r="V76">
        <v>25.62</v>
      </c>
      <c r="W76">
        <f t="shared" si="22"/>
        <v>1.5000000000000568E-2</v>
      </c>
      <c r="X76">
        <f t="shared" si="23"/>
        <v>4.0000000000013358E-3</v>
      </c>
      <c r="Y76" s="2">
        <v>25.253</v>
      </c>
      <c r="Z76">
        <v>25.28</v>
      </c>
      <c r="AB76">
        <v>25.161000000000001</v>
      </c>
      <c r="AC76">
        <f t="shared" si="24"/>
        <v>2.7000000000001023E-2</v>
      </c>
      <c r="AD76">
        <f t="shared" si="34"/>
        <v>9.1999999999998749E-2</v>
      </c>
      <c r="AE76" s="2">
        <v>25.803000000000001</v>
      </c>
      <c r="AF76">
        <v>26.32</v>
      </c>
      <c r="AH76">
        <v>25.914000000000001</v>
      </c>
      <c r="AI76">
        <f t="shared" si="30"/>
        <v>0.51699999999999946</v>
      </c>
      <c r="AJ76">
        <f t="shared" si="31"/>
        <v>0.11100000000000065</v>
      </c>
      <c r="AK76" s="2"/>
      <c r="AQ76" s="2">
        <v>29.716999999999999</v>
      </c>
      <c r="AR76">
        <v>26.766999999999999</v>
      </c>
      <c r="AT76">
        <v>28.071000000000002</v>
      </c>
      <c r="AU76">
        <f t="shared" si="28"/>
        <v>2.9499999999999993</v>
      </c>
      <c r="AV76">
        <f t="shared" si="29"/>
        <v>1.6459999999999972</v>
      </c>
      <c r="AW76" s="2"/>
    </row>
    <row r="77" spans="1:54" x14ac:dyDescent="0.2">
      <c r="A77" t="s">
        <v>32</v>
      </c>
      <c r="B77" t="s">
        <v>33</v>
      </c>
      <c r="C77" t="s">
        <v>34</v>
      </c>
      <c r="D77">
        <v>65</v>
      </c>
      <c r="E77" t="s">
        <v>8</v>
      </c>
      <c r="F77" s="2">
        <v>9.5470000000000006</v>
      </c>
      <c r="G77">
        <v>8.2029999999999994</v>
      </c>
      <c r="I77">
        <v>8.4209999999999994</v>
      </c>
      <c r="J77">
        <f t="shared" si="35"/>
        <v>1.3440000000000012</v>
      </c>
      <c r="K77">
        <f t="shared" si="36"/>
        <v>1.1260000000000012</v>
      </c>
      <c r="M77" s="2">
        <v>11.403</v>
      </c>
      <c r="N77">
        <v>10.124000000000001</v>
      </c>
      <c r="P77">
        <v>10.911</v>
      </c>
      <c r="Q77">
        <f t="shared" si="20"/>
        <v>1.2789999999999999</v>
      </c>
      <c r="R77">
        <f t="shared" si="21"/>
        <v>0.49200000000000088</v>
      </c>
      <c r="S77" s="2">
        <v>13.827999999999999</v>
      </c>
      <c r="T77">
        <v>13.218999999999999</v>
      </c>
      <c r="V77">
        <v>14.478</v>
      </c>
      <c r="W77">
        <f t="shared" si="22"/>
        <v>0.60899999999999999</v>
      </c>
      <c r="X77">
        <f t="shared" si="23"/>
        <v>0.65000000000000036</v>
      </c>
      <c r="Y77" s="2">
        <v>13.917</v>
      </c>
      <c r="Z77">
        <v>13.576000000000001</v>
      </c>
      <c r="AB77">
        <v>13.603999999999999</v>
      </c>
      <c r="AC77">
        <f t="shared" si="24"/>
        <v>0.3409999999999993</v>
      </c>
      <c r="AD77">
        <f t="shared" si="34"/>
        <v>0.31300000000000061</v>
      </c>
      <c r="AE77" s="2">
        <v>14.439</v>
      </c>
      <c r="AF77">
        <v>15.016999999999999</v>
      </c>
      <c r="AH77">
        <v>15.557</v>
      </c>
      <c r="AI77">
        <f t="shared" si="30"/>
        <v>0.5779999999999994</v>
      </c>
      <c r="AJ77">
        <f t="shared" si="31"/>
        <v>1.1180000000000003</v>
      </c>
      <c r="AK77" s="2">
        <v>17.106000000000002</v>
      </c>
      <c r="AL77">
        <v>15.983000000000001</v>
      </c>
      <c r="AN77">
        <v>14.14</v>
      </c>
      <c r="AO77">
        <f t="shared" si="26"/>
        <v>1.1230000000000011</v>
      </c>
      <c r="AP77">
        <f t="shared" si="27"/>
        <v>2.9660000000000011</v>
      </c>
      <c r="AQ77" s="2">
        <v>19.344999999999999</v>
      </c>
      <c r="AR77">
        <v>15.109</v>
      </c>
      <c r="AT77">
        <v>13.874000000000001</v>
      </c>
      <c r="AU77">
        <f t="shared" si="28"/>
        <v>4.2359999999999989</v>
      </c>
      <c r="AV77">
        <f t="shared" si="29"/>
        <v>5.4709999999999983</v>
      </c>
      <c r="AW77" s="2">
        <v>58.786000000000001</v>
      </c>
      <c r="AX77">
        <v>33.213000000000001</v>
      </c>
      <c r="AZ77">
        <v>21.030999999999999</v>
      </c>
      <c r="BA77">
        <f t="shared" si="32"/>
        <v>25.573</v>
      </c>
      <c r="BB77">
        <f t="shared" si="33"/>
        <v>37.755000000000003</v>
      </c>
    </row>
    <row r="78" spans="1:54" x14ac:dyDescent="0.2">
      <c r="A78" t="s">
        <v>35</v>
      </c>
      <c r="B78" t="s">
        <v>36</v>
      </c>
      <c r="C78" t="s">
        <v>37</v>
      </c>
      <c r="D78">
        <v>81</v>
      </c>
      <c r="E78" t="s">
        <v>8</v>
      </c>
      <c r="F78" s="2">
        <v>10.912000000000001</v>
      </c>
      <c r="G78">
        <v>11.34</v>
      </c>
      <c r="I78">
        <v>11.239000000000001</v>
      </c>
      <c r="J78">
        <f t="shared" si="35"/>
        <v>0.42799999999999905</v>
      </c>
      <c r="K78">
        <f t="shared" si="36"/>
        <v>0.32699999999999996</v>
      </c>
      <c r="M78" s="2">
        <v>11.574</v>
      </c>
      <c r="N78">
        <v>11.863</v>
      </c>
      <c r="P78">
        <v>11.827999999999999</v>
      </c>
      <c r="Q78">
        <f t="shared" si="20"/>
        <v>0.2889999999999997</v>
      </c>
      <c r="R78">
        <f t="shared" si="21"/>
        <v>0.25399999999999956</v>
      </c>
      <c r="S78" s="2">
        <v>13.103999999999999</v>
      </c>
      <c r="T78">
        <v>13.532</v>
      </c>
      <c r="V78">
        <v>13.445</v>
      </c>
      <c r="W78">
        <f t="shared" si="22"/>
        <v>0.42800000000000082</v>
      </c>
      <c r="X78">
        <f t="shared" si="23"/>
        <v>0.34100000000000108</v>
      </c>
      <c r="Y78" s="2">
        <v>14.092000000000001</v>
      </c>
      <c r="Z78">
        <v>14.875999999999999</v>
      </c>
      <c r="AB78">
        <v>14.76</v>
      </c>
      <c r="AC78">
        <f t="shared" si="24"/>
        <v>0.78399999999999892</v>
      </c>
      <c r="AD78">
        <f t="shared" si="34"/>
        <v>0.66799999999999926</v>
      </c>
      <c r="AE78" s="2">
        <v>14.576000000000001</v>
      </c>
      <c r="AF78">
        <v>16.515000000000001</v>
      </c>
      <c r="AH78">
        <v>16.43</v>
      </c>
      <c r="AI78">
        <f t="shared" si="30"/>
        <v>1.9390000000000001</v>
      </c>
      <c r="AJ78">
        <f t="shared" si="31"/>
        <v>1.8539999999999992</v>
      </c>
      <c r="AK78" s="2"/>
      <c r="AQ78" s="2"/>
      <c r="AW78" s="2">
        <v>33.619</v>
      </c>
      <c r="AX78">
        <v>24.077000000000002</v>
      </c>
      <c r="AZ78">
        <v>13.462999999999999</v>
      </c>
      <c r="BA78">
        <f t="shared" si="32"/>
        <v>9.541999999999998</v>
      </c>
      <c r="BB78">
        <f t="shared" si="33"/>
        <v>20.155999999999999</v>
      </c>
    </row>
    <row r="79" spans="1:54" x14ac:dyDescent="0.2">
      <c r="A79" t="s">
        <v>38</v>
      </c>
      <c r="B79" t="s">
        <v>39</v>
      </c>
      <c r="C79" t="s">
        <v>40</v>
      </c>
      <c r="D79">
        <v>64</v>
      </c>
      <c r="E79" t="s">
        <v>19</v>
      </c>
      <c r="F79" s="2">
        <v>10.28</v>
      </c>
      <c r="G79">
        <v>11.608000000000001</v>
      </c>
      <c r="I79">
        <v>11.406000000000001</v>
      </c>
      <c r="J79">
        <f t="shared" si="35"/>
        <v>1.3280000000000012</v>
      </c>
      <c r="K79">
        <f t="shared" si="36"/>
        <v>1.1260000000000012</v>
      </c>
      <c r="M79" s="2">
        <v>10.837999999999999</v>
      </c>
      <c r="N79">
        <v>12.573</v>
      </c>
      <c r="P79">
        <v>12.442</v>
      </c>
      <c r="Q79">
        <f t="shared" si="20"/>
        <v>1.7350000000000012</v>
      </c>
      <c r="R79">
        <f t="shared" si="21"/>
        <v>1.604000000000001</v>
      </c>
      <c r="S79" s="2">
        <v>15.507</v>
      </c>
      <c r="T79">
        <v>18.198</v>
      </c>
      <c r="V79">
        <v>17.690000000000001</v>
      </c>
      <c r="W79">
        <f t="shared" si="22"/>
        <v>2.6910000000000007</v>
      </c>
      <c r="X79">
        <f t="shared" si="23"/>
        <v>2.1830000000000016</v>
      </c>
      <c r="Y79" s="2">
        <v>19.463000000000001</v>
      </c>
      <c r="Z79">
        <v>22.13</v>
      </c>
      <c r="AB79">
        <v>21.611000000000001</v>
      </c>
      <c r="AC79">
        <f t="shared" si="24"/>
        <v>2.666999999999998</v>
      </c>
      <c r="AD79">
        <f t="shared" si="34"/>
        <v>2.1479999999999997</v>
      </c>
      <c r="AE79" s="2">
        <v>24.625</v>
      </c>
      <c r="AF79">
        <v>24.468</v>
      </c>
      <c r="AH79">
        <v>23.981000000000002</v>
      </c>
      <c r="AI79">
        <f t="shared" si="30"/>
        <v>0.15700000000000003</v>
      </c>
      <c r="AJ79">
        <f t="shared" si="31"/>
        <v>0.64399999999999835</v>
      </c>
      <c r="AK79" s="2">
        <v>33.895000000000003</v>
      </c>
      <c r="AL79">
        <v>34.762</v>
      </c>
      <c r="AN79">
        <v>32.375</v>
      </c>
      <c r="AO79">
        <f t="shared" si="26"/>
        <v>0.86699999999999733</v>
      </c>
      <c r="AP79">
        <f t="shared" si="27"/>
        <v>1.5200000000000031</v>
      </c>
      <c r="AQ79" s="2">
        <v>43.96</v>
      </c>
      <c r="AR79">
        <v>45.423000000000002</v>
      </c>
      <c r="AT79">
        <v>40.973999999999997</v>
      </c>
      <c r="AU79">
        <f t="shared" si="28"/>
        <v>1.463000000000001</v>
      </c>
      <c r="AV79">
        <f t="shared" si="29"/>
        <v>2.9860000000000042</v>
      </c>
      <c r="AW79" s="2"/>
    </row>
    <row r="80" spans="1:54" x14ac:dyDescent="0.2">
      <c r="A80" t="s">
        <v>41</v>
      </c>
      <c r="B80" t="s">
        <v>42</v>
      </c>
      <c r="C80" t="s">
        <v>43</v>
      </c>
      <c r="D80">
        <v>35</v>
      </c>
      <c r="E80" t="s">
        <v>8</v>
      </c>
      <c r="F80" s="2">
        <v>9.2230000000000008</v>
      </c>
      <c r="G80">
        <v>9.02</v>
      </c>
      <c r="I80">
        <v>8.6</v>
      </c>
      <c r="J80">
        <f t="shared" si="35"/>
        <v>0.20300000000000118</v>
      </c>
      <c r="K80">
        <f t="shared" si="36"/>
        <v>0.62300000000000111</v>
      </c>
      <c r="M80" s="2">
        <v>9.3070000000000004</v>
      </c>
      <c r="N80">
        <v>9.1310000000000002</v>
      </c>
      <c r="P80">
        <v>8.6690000000000005</v>
      </c>
      <c r="Q80">
        <f t="shared" si="20"/>
        <v>0.17600000000000016</v>
      </c>
      <c r="R80">
        <f t="shared" si="21"/>
        <v>0.6379999999999999</v>
      </c>
      <c r="S80" s="2">
        <v>9.9280000000000008</v>
      </c>
      <c r="T80">
        <v>9.4049999999999994</v>
      </c>
      <c r="V80">
        <v>8.7650000000000006</v>
      </c>
      <c r="W80">
        <f t="shared" si="22"/>
        <v>0.52300000000000146</v>
      </c>
      <c r="X80">
        <f t="shared" si="23"/>
        <v>1.1630000000000003</v>
      </c>
      <c r="Y80" s="2">
        <v>11.473000000000001</v>
      </c>
      <c r="Z80">
        <v>11.914</v>
      </c>
      <c r="AB80">
        <v>10.403</v>
      </c>
      <c r="AC80">
        <f t="shared" si="24"/>
        <v>0.44099999999999895</v>
      </c>
      <c r="AD80">
        <f t="shared" si="34"/>
        <v>1.0700000000000003</v>
      </c>
      <c r="AE80" s="2">
        <v>12.317</v>
      </c>
      <c r="AF80">
        <v>12.842000000000001</v>
      </c>
      <c r="AH80">
        <v>11.941000000000001</v>
      </c>
      <c r="AI80">
        <f t="shared" si="30"/>
        <v>0.52500000000000036</v>
      </c>
      <c r="AJ80">
        <f t="shared" si="31"/>
        <v>0.37599999999999945</v>
      </c>
      <c r="AK80" s="2">
        <v>14.933</v>
      </c>
      <c r="AL80">
        <v>14.989000000000001</v>
      </c>
      <c r="AN80">
        <v>13.188000000000001</v>
      </c>
      <c r="AO80">
        <f t="shared" si="26"/>
        <v>5.6000000000000938E-2</v>
      </c>
      <c r="AP80">
        <f t="shared" si="27"/>
        <v>1.7449999999999992</v>
      </c>
      <c r="AQ80" s="2">
        <v>14.156000000000001</v>
      </c>
      <c r="AR80">
        <v>14.779</v>
      </c>
      <c r="AT80">
        <v>16.672999999999998</v>
      </c>
      <c r="AU80">
        <f t="shared" si="28"/>
        <v>0.62299999999999933</v>
      </c>
      <c r="AV80">
        <f t="shared" si="29"/>
        <v>2.5169999999999977</v>
      </c>
      <c r="AW80" s="2"/>
    </row>
    <row r="81" spans="1:49" x14ac:dyDescent="0.2">
      <c r="A81" t="s">
        <v>44</v>
      </c>
      <c r="B81" t="s">
        <v>45</v>
      </c>
      <c r="C81" t="s">
        <v>46</v>
      </c>
      <c r="D81">
        <v>91</v>
      </c>
      <c r="E81" t="s">
        <v>8</v>
      </c>
      <c r="F81" s="2">
        <v>5.0190000000000001</v>
      </c>
      <c r="G81">
        <v>4.681</v>
      </c>
      <c r="I81">
        <v>4.7039999999999997</v>
      </c>
      <c r="J81">
        <f t="shared" si="35"/>
        <v>0.33800000000000008</v>
      </c>
      <c r="K81">
        <f t="shared" si="36"/>
        <v>0.31500000000000039</v>
      </c>
      <c r="M81" s="2">
        <v>4.649</v>
      </c>
      <c r="N81">
        <v>5.2519999999999998</v>
      </c>
      <c r="P81">
        <v>4.8499999999999996</v>
      </c>
      <c r="Q81">
        <f t="shared" si="20"/>
        <v>0.60299999999999976</v>
      </c>
      <c r="R81">
        <f t="shared" si="21"/>
        <v>0.20099999999999962</v>
      </c>
      <c r="S81" s="2">
        <v>6.19</v>
      </c>
      <c r="T81">
        <v>6.3319999999999999</v>
      </c>
      <c r="V81">
        <v>6.17</v>
      </c>
      <c r="W81">
        <f t="shared" si="22"/>
        <v>0.14199999999999946</v>
      </c>
      <c r="X81">
        <f t="shared" si="23"/>
        <v>2.0000000000000462E-2</v>
      </c>
      <c r="Y81" s="2">
        <v>5.476</v>
      </c>
      <c r="Z81">
        <v>5.617</v>
      </c>
      <c r="AB81">
        <v>5.6680000000000001</v>
      </c>
      <c r="AC81">
        <f t="shared" si="24"/>
        <v>0.14100000000000001</v>
      </c>
      <c r="AD81">
        <f t="shared" si="34"/>
        <v>0.19200000000000017</v>
      </c>
      <c r="AE81" s="2">
        <v>5.8639999999999999</v>
      </c>
      <c r="AF81">
        <v>5.6040000000000001</v>
      </c>
      <c r="AH81">
        <v>5.5750000000000002</v>
      </c>
      <c r="AI81">
        <f t="shared" si="30"/>
        <v>0.25999999999999979</v>
      </c>
      <c r="AJ81">
        <f t="shared" si="31"/>
        <v>0.2889999999999997</v>
      </c>
      <c r="AK81" s="2">
        <v>5.4740000000000002</v>
      </c>
      <c r="AL81">
        <v>5.2210000000000001</v>
      </c>
      <c r="AN81">
        <v>5.1779999999999999</v>
      </c>
      <c r="AO81">
        <f t="shared" si="26"/>
        <v>0.25300000000000011</v>
      </c>
      <c r="AP81">
        <f t="shared" si="27"/>
        <v>0.29600000000000026</v>
      </c>
      <c r="AQ81" s="2"/>
      <c r="AW8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Agathe LOUISY</dc:creator>
  <cp:lastModifiedBy>Microsoft Office User</cp:lastModifiedBy>
  <dcterms:created xsi:type="dcterms:W3CDTF">2025-11-13T09:49:50Z</dcterms:created>
  <dcterms:modified xsi:type="dcterms:W3CDTF">2025-11-17T18:41:42Z</dcterms:modified>
</cp:coreProperties>
</file>